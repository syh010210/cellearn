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0F4930-431E-44D4-A597-AAFD1F0B195E}" xr6:coauthVersionLast="47" xr6:coauthVersionMax="47" xr10:uidLastSave="{00000000-0000-0000-0000-000000000000}"/>
  <bookViews>
    <workbookView xWindow="-98" yWindow="-98" windowWidth="21795" windowHeight="12975" xr2:uid="{9431551C-920B-430D-8280-DA78C0ED496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4" l="1"/>
  <c r="E14" i="4"/>
  <c r="G14" i="4" s="1"/>
  <c r="H14" i="4" s="1"/>
  <c r="F13" i="4"/>
  <c r="E13" i="4"/>
  <c r="G13" i="4" s="1"/>
  <c r="H13" i="4" s="1"/>
  <c r="F12" i="4"/>
  <c r="E12" i="4"/>
  <c r="G12" i="4" s="1"/>
  <c r="H12" i="4" s="1"/>
  <c r="F11" i="4"/>
  <c r="E11" i="4"/>
  <c r="G11" i="4" s="1"/>
  <c r="H11" i="4" s="1"/>
  <c r="F10" i="4"/>
  <c r="E10" i="4"/>
  <c r="G10" i="4" s="1"/>
  <c r="H10" i="4" s="1"/>
  <c r="G9" i="4"/>
  <c r="H9" i="4" s="1"/>
  <c r="F9" i="4"/>
  <c r="E9" i="4"/>
  <c r="F8" i="4"/>
  <c r="E8" i="4"/>
  <c r="G8" i="4" s="1"/>
  <c r="H8" i="4" s="1"/>
  <c r="F7" i="4"/>
  <c r="E7" i="4"/>
  <c r="G7" i="4" s="1"/>
  <c r="H7" i="4" s="1"/>
  <c r="F6" i="4"/>
  <c r="E6" i="4"/>
  <c r="G6" i="4" s="1"/>
  <c r="H6" i="4" s="1"/>
  <c r="F5" i="4"/>
  <c r="E5" i="4"/>
  <c r="G5" i="4" s="1"/>
  <c r="H5" i="4" s="1"/>
  <c r="F4" i="4"/>
  <c r="E4" i="4"/>
  <c r="G4" i="4" s="1"/>
  <c r="H4" i="4" s="1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<sst xmlns="http://schemas.openxmlformats.org/spreadsheetml/2006/main" count="233" uniqueCount="122">
  <si>
    <t>소득공제</t>
    <phoneticPr fontId="4" type="noConversion"/>
  </si>
  <si>
    <t>소득공제내용</t>
    <phoneticPr fontId="4" type="noConversion"/>
  </si>
  <si>
    <t>법인명</t>
    <phoneticPr fontId="4" type="noConversion"/>
  </si>
  <si>
    <t>금액</t>
    <phoneticPr fontId="4" type="noConversion"/>
  </si>
  <si>
    <t>일반의료비</t>
  </si>
  <si>
    <t>간소화자료</t>
  </si>
  <si>
    <t>기풍카드</t>
    <phoneticPr fontId="3" type="noConversion"/>
  </si>
  <si>
    <t>신용카드</t>
  </si>
  <si>
    <t>대중교통</t>
  </si>
  <si>
    <t>하나의원</t>
    <phoneticPr fontId="3" type="noConversion"/>
  </si>
  <si>
    <t>현금영수증</t>
  </si>
  <si>
    <t>일반사용분</t>
  </si>
  <si>
    <t>중앙의원</t>
    <phoneticPr fontId="3" type="noConversion"/>
  </si>
  <si>
    <t>대중교통</t>
    <phoneticPr fontId="3" type="noConversion"/>
  </si>
  <si>
    <t>현금영수증</t>
    <phoneticPr fontId="3" type="noConversion"/>
  </si>
  <si>
    <t>중앙병원</t>
    <phoneticPr fontId="3" type="noConversion"/>
  </si>
  <si>
    <t>제품 생산현황</t>
  </si>
  <si>
    <t>제품코드</t>
    <phoneticPr fontId="3" type="noConversion"/>
  </si>
  <si>
    <t>생산공장</t>
    <phoneticPr fontId="3" type="noConversion"/>
  </si>
  <si>
    <t>목표수량</t>
    <phoneticPr fontId="3" type="noConversion"/>
  </si>
  <si>
    <t>생산수량</t>
    <phoneticPr fontId="3" type="noConversion"/>
  </si>
  <si>
    <t>불량수량</t>
    <phoneticPr fontId="3" type="noConversion"/>
  </si>
  <si>
    <t>불량률</t>
    <phoneticPr fontId="3" type="noConversion"/>
  </si>
  <si>
    <t>ANS-001</t>
  </si>
  <si>
    <t>안산</t>
  </si>
  <si>
    <t>POT-001</t>
  </si>
  <si>
    <t>평택</t>
  </si>
  <si>
    <t>POT-002</t>
  </si>
  <si>
    <t>ANS-002</t>
  </si>
  <si>
    <t>ANS-001</t>
    <phoneticPr fontId="3" type="noConversion"/>
  </si>
  <si>
    <t>급여대장</t>
    <phoneticPr fontId="4" type="noConversion"/>
  </si>
  <si>
    <t>직급</t>
    <phoneticPr fontId="4" type="noConversion"/>
  </si>
  <si>
    <t>지점명</t>
    <phoneticPr fontId="4" type="noConversion"/>
  </si>
  <si>
    <t>근무부서</t>
    <phoneticPr fontId="3" type="noConversion"/>
  </si>
  <si>
    <t>이름</t>
    <phoneticPr fontId="4" type="noConversion"/>
  </si>
  <si>
    <t>기본급</t>
    <phoneticPr fontId="4" type="noConversion"/>
  </si>
  <si>
    <t>상여금</t>
    <phoneticPr fontId="4" type="noConversion"/>
  </si>
  <si>
    <t>인센티브</t>
    <phoneticPr fontId="4" type="noConversion"/>
  </si>
  <si>
    <t>총지급액</t>
    <phoneticPr fontId="4" type="noConversion"/>
  </si>
  <si>
    <t>부장</t>
    <phoneticPr fontId="4" type="noConversion"/>
  </si>
  <si>
    <t>광화문</t>
    <phoneticPr fontId="4" type="noConversion"/>
  </si>
  <si>
    <t>관리팀</t>
    <phoneticPr fontId="3" type="noConversion"/>
  </si>
  <si>
    <t>최재석</t>
    <phoneticPr fontId="4" type="noConversion"/>
  </si>
  <si>
    <t>과장</t>
    <phoneticPr fontId="4" type="noConversion"/>
  </si>
  <si>
    <t>을지로</t>
    <phoneticPr fontId="4" type="noConversion"/>
  </si>
  <si>
    <t>영업팀</t>
    <phoneticPr fontId="3" type="noConversion"/>
  </si>
  <si>
    <t>김현태</t>
    <phoneticPr fontId="4" type="noConversion"/>
  </si>
  <si>
    <t>박상준</t>
    <phoneticPr fontId="4" type="noConversion"/>
  </si>
  <si>
    <t>대리</t>
    <phoneticPr fontId="4" type="noConversion"/>
  </si>
  <si>
    <t>이준성</t>
    <phoneticPr fontId="4" type="noConversion"/>
  </si>
  <si>
    <t>서대문</t>
  </si>
  <si>
    <t>연구팀</t>
    <phoneticPr fontId="3" type="noConversion"/>
  </si>
  <si>
    <t>이원섭</t>
    <phoneticPr fontId="4" type="noConversion"/>
  </si>
  <si>
    <t>김세환</t>
    <phoneticPr fontId="4" type="noConversion"/>
  </si>
  <si>
    <t>김형섭</t>
    <phoneticPr fontId="4" type="noConversion"/>
  </si>
  <si>
    <t>유제관</t>
    <phoneticPr fontId="4" type="noConversion"/>
  </si>
  <si>
    <t>유응구</t>
    <phoneticPr fontId="4" type="noConversion"/>
  </si>
  <si>
    <t>한성일</t>
    <phoneticPr fontId="4" type="noConversion"/>
  </si>
  <si>
    <t>최준기</t>
    <phoneticPr fontId="4" type="noConversion"/>
  </si>
  <si>
    <t>박병훈</t>
    <phoneticPr fontId="4" type="noConversion"/>
  </si>
  <si>
    <t>송창호</t>
    <phoneticPr fontId="4" type="noConversion"/>
  </si>
  <si>
    <t>송준호</t>
    <phoneticPr fontId="4" type="noConversion"/>
  </si>
  <si>
    <t>상공홈쇼핑 주문 현황</t>
    <phoneticPr fontId="3" type="noConversion"/>
  </si>
  <si>
    <t>주문번호</t>
    <phoneticPr fontId="3" type="noConversion"/>
  </si>
  <si>
    <t>주문일자</t>
    <phoneticPr fontId="3" type="noConversion"/>
  </si>
  <si>
    <t>회원명</t>
    <phoneticPr fontId="3" type="noConversion"/>
  </si>
  <si>
    <t>회원등급</t>
    <phoneticPr fontId="3" type="noConversion"/>
  </si>
  <si>
    <t>제품명</t>
    <phoneticPr fontId="3" type="noConversion"/>
  </si>
  <si>
    <t>구매수량</t>
    <phoneticPr fontId="3" type="noConversion"/>
  </si>
  <si>
    <t>구매금액</t>
    <phoneticPr fontId="3" type="noConversion"/>
  </si>
  <si>
    <t>서효성</t>
    <phoneticPr fontId="3" type="noConversion"/>
  </si>
  <si>
    <t>브론즈</t>
    <phoneticPr fontId="3" type="noConversion"/>
  </si>
  <si>
    <t>맛있는포기김치</t>
    <phoneticPr fontId="3" type="noConversion"/>
  </si>
  <si>
    <t>주이성</t>
    <phoneticPr fontId="3" type="noConversion"/>
  </si>
  <si>
    <t>실버</t>
    <phoneticPr fontId="3" type="noConversion"/>
  </si>
  <si>
    <t>올데이티셔츠</t>
    <phoneticPr fontId="3" type="noConversion"/>
  </si>
  <si>
    <t>임상엽</t>
  </si>
  <si>
    <t>골드</t>
    <phoneticPr fontId="3" type="noConversion"/>
  </si>
  <si>
    <t>주렁주렁주얼리</t>
    <phoneticPr fontId="3" type="noConversion"/>
  </si>
  <si>
    <t>허윤주</t>
  </si>
  <si>
    <t>썸머텐션팬츠</t>
    <phoneticPr fontId="3" type="noConversion"/>
  </si>
  <si>
    <t>백정안</t>
  </si>
  <si>
    <t>매콤칠리새우</t>
    <phoneticPr fontId="3" type="noConversion"/>
  </si>
  <si>
    <t>최성완</t>
    <phoneticPr fontId="3" type="noConversion"/>
  </si>
  <si>
    <t>릴렉스데님</t>
    <phoneticPr fontId="3" type="noConversion"/>
  </si>
  <si>
    <t>김정혜</t>
    <phoneticPr fontId="3" type="noConversion"/>
  </si>
  <si>
    <t>날아스니커즈</t>
    <phoneticPr fontId="3" type="noConversion"/>
  </si>
  <si>
    <t>송승현</t>
    <phoneticPr fontId="3" type="noConversion"/>
  </si>
  <si>
    <t>건강한두유제조기</t>
    <phoneticPr fontId="3" type="noConversion"/>
  </si>
  <si>
    <t>신윤오</t>
  </si>
  <si>
    <t>깨끗한화장지</t>
    <phoneticPr fontId="3" type="noConversion"/>
  </si>
  <si>
    <t>권진주</t>
  </si>
  <si>
    <t>시원마사지기</t>
    <phoneticPr fontId="3" type="noConversion"/>
  </si>
  <si>
    <t>강현준</t>
    <phoneticPr fontId="3" type="noConversion"/>
  </si>
  <si>
    <t>포밍욕실세정제</t>
    <phoneticPr fontId="3" type="noConversion"/>
  </si>
  <si>
    <t>사원임금 계산표</t>
    <phoneticPr fontId="4" type="noConversion"/>
  </si>
  <si>
    <t>사원이름</t>
    <phoneticPr fontId="4" type="noConversion"/>
  </si>
  <si>
    <t>직급명</t>
    <phoneticPr fontId="4" type="noConversion"/>
  </si>
  <si>
    <t>부서명</t>
    <phoneticPr fontId="4" type="noConversion"/>
  </si>
  <si>
    <t>판매금액</t>
    <phoneticPr fontId="4" type="noConversion"/>
  </si>
  <si>
    <t>활동수당</t>
    <phoneticPr fontId="4" type="noConversion"/>
  </si>
  <si>
    <t>직급수당</t>
    <phoneticPr fontId="4" type="noConversion"/>
  </si>
  <si>
    <t>총수령액</t>
    <phoneticPr fontId="4" type="noConversion"/>
  </si>
  <si>
    <t>등급</t>
    <phoneticPr fontId="4" type="noConversion"/>
  </si>
  <si>
    <t>이수지</t>
    <phoneticPr fontId="4" type="noConversion"/>
  </si>
  <si>
    <t>사원</t>
    <phoneticPr fontId="4" type="noConversion"/>
  </si>
  <si>
    <t>인사팀</t>
    <phoneticPr fontId="4" type="noConversion"/>
  </si>
  <si>
    <t>김종서</t>
    <phoneticPr fontId="4" type="noConversion"/>
  </si>
  <si>
    <t>기획팀</t>
    <phoneticPr fontId="4" type="noConversion"/>
  </si>
  <si>
    <t>유동근</t>
    <phoneticPr fontId="4" type="noConversion"/>
  </si>
  <si>
    <t>생산팀</t>
    <phoneticPr fontId="4" type="noConversion"/>
  </si>
  <si>
    <t>최수종</t>
    <phoneticPr fontId="4" type="noConversion"/>
  </si>
  <si>
    <t>R&amp;D팀</t>
    <phoneticPr fontId="4" type="noConversion"/>
  </si>
  <si>
    <t>김미화</t>
    <phoneticPr fontId="4" type="noConversion"/>
  </si>
  <si>
    <t>경리팀</t>
    <phoneticPr fontId="4" type="noConversion"/>
  </si>
  <si>
    <t>강감찬</t>
    <phoneticPr fontId="4" type="noConversion"/>
  </si>
  <si>
    <t>이순신</t>
    <phoneticPr fontId="4" type="noConversion"/>
  </si>
  <si>
    <t>관리팀</t>
    <phoneticPr fontId="4" type="noConversion"/>
  </si>
  <si>
    <t>김유신</t>
    <phoneticPr fontId="4" type="noConversion"/>
  </si>
  <si>
    <t>유승준</t>
    <phoneticPr fontId="4" type="noConversion"/>
  </si>
  <si>
    <t>서세원</t>
    <phoneticPr fontId="4" type="noConversion"/>
  </si>
  <si>
    <t>한소리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</si>
</sst>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1" fontId="0" fillId="0" borderId="0" xfId="2" applyFont="1">
      <alignment vertical="center"/>
    </xf>
    <xf numFmtId="41" fontId="8" fillId="0" borderId="0" xfId="2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41" fontId="8" fillId="0" borderId="1" xfId="2" applyFont="1" applyBorder="1" applyAlignment="1">
      <alignment vertical="center"/>
    </xf>
  </cellXfs>
  <cellStyles count="4">
    <cellStyle name="백분율" xfId="3" builtinId="5"/>
    <cellStyle name="쉼표 [0]" xfId="2" builtinId="6"/>
    <cellStyle name="표준" xfId="0" builtinId="0"/>
    <cellStyle name="표준 2" xfId="1" xr:uid="{173D7473-8DC4-4BA7-994F-27AA078047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17</xdr:col>
      <xdr:colOff>163471</xdr:colOff>
      <xdr:row>8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6BB68CA2-C886-4975-8013-69CC9082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0"/>
          <a:ext cx="7021471" cy="176212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547258</xdr:colOff>
      <xdr:row>7</xdr:row>
      <xdr:rowOff>42862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40270C0D-AA27-4C9C-B005-5BF02572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0"/>
          <a:ext cx="6719458" cy="154781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17</xdr:col>
      <xdr:colOff>0</xdr:colOff>
      <xdr:row>8</xdr:row>
      <xdr:rowOff>51717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59F89207-EF81-47C5-A404-96E820AC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0"/>
          <a:ext cx="6172200" cy="181384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10113</xdr:colOff>
      <xdr:row>7</xdr:row>
      <xdr:rowOff>28575</xdr:rowOff>
    </xdr:to>
    <xdr:pic>
      <xdr:nvPicPr>
        <xdr:cNvPr id="2" name="Picture 25">
          <a:extLst>
            <a:ext uri="{FF2B5EF4-FFF2-40B4-BE49-F238E27FC236}">
              <a16:creationId xmlns:a16="http://schemas.microsoft.com/office/drawing/2014/main" id="{B1ECA153-EFCD-49C2-85E4-CADEEF966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238" y="0"/>
          <a:ext cx="6182313" cy="162877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504825</xdr:colOff>
      <xdr:row>7</xdr:row>
      <xdr:rowOff>83925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C65E2-CC6B-437B-A9EB-42BF9882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77050" cy="1584113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12</xdr:col>
      <xdr:colOff>261374</xdr:colOff>
      <xdr:row>22</xdr:row>
      <xdr:rowOff>209549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9C8E2B-83EA-4D1F-84BF-4B421F56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5" y="1714500"/>
          <a:ext cx="5061974" cy="3209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E3A3-0229-410F-B134-E35522D12AE0}">
  <dimension ref="A1:F19"/>
  <sheetViews>
    <sheetView tabSelected="1" workbookViewId="0">
      <selection activeCell="P13" sqref="P13"/>
    </sheetView>
  </sheetViews>
  <sheetFormatPr defaultRowHeight="16.899999999999999"/>
  <sheetData>
    <row r="1" spans="1:6" ht="20.65">
      <c r="A1" s="11" t="s">
        <v>16</v>
      </c>
      <c r="B1" s="11"/>
      <c r="C1" s="11"/>
      <c r="D1" s="11"/>
      <c r="E1" s="11"/>
      <c r="F1" s="11"/>
    </row>
    <row r="3" spans="1:6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>
      <c r="A4" s="12" t="s">
        <v>23</v>
      </c>
      <c r="B4" s="12" t="s">
        <v>24</v>
      </c>
      <c r="C4" s="12">
        <v>1705</v>
      </c>
      <c r="D4" s="12">
        <v>1977</v>
      </c>
      <c r="E4" s="12">
        <v>13</v>
      </c>
      <c r="F4" s="13">
        <f>E4/D4</f>
        <v>6.5756196256954984E-3</v>
      </c>
    </row>
    <row r="5" spans="1:6">
      <c r="A5" s="12" t="s">
        <v>25</v>
      </c>
      <c r="B5" s="12" t="s">
        <v>26</v>
      </c>
      <c r="C5" s="12">
        <v>2005</v>
      </c>
      <c r="D5" s="12">
        <v>1947</v>
      </c>
      <c r="E5" s="12">
        <v>30</v>
      </c>
      <c r="F5" s="13">
        <f t="shared" ref="F5:F19" si="0">E5/D5</f>
        <v>1.5408320493066256E-2</v>
      </c>
    </row>
    <row r="6" spans="1:6">
      <c r="A6" s="12" t="s">
        <v>27</v>
      </c>
      <c r="B6" s="12" t="s">
        <v>26</v>
      </c>
      <c r="C6" s="12">
        <v>1705</v>
      </c>
      <c r="D6" s="12">
        <v>1777</v>
      </c>
      <c r="E6" s="12">
        <v>22</v>
      </c>
      <c r="F6" s="13">
        <f t="shared" si="0"/>
        <v>1.2380416432189083E-2</v>
      </c>
    </row>
    <row r="7" spans="1:6">
      <c r="A7" s="12" t="s">
        <v>28</v>
      </c>
      <c r="B7" s="12" t="s">
        <v>24</v>
      </c>
      <c r="C7" s="12">
        <v>1505</v>
      </c>
      <c r="D7" s="12">
        <v>1620</v>
      </c>
      <c r="E7" s="12">
        <v>17</v>
      </c>
      <c r="F7" s="13">
        <f t="shared" si="0"/>
        <v>1.0493827160493827E-2</v>
      </c>
    </row>
    <row r="8" spans="1:6">
      <c r="A8" s="12" t="s">
        <v>23</v>
      </c>
      <c r="B8" s="12" t="s">
        <v>24</v>
      </c>
      <c r="C8" s="12">
        <v>2005</v>
      </c>
      <c r="D8" s="12">
        <v>2175</v>
      </c>
      <c r="E8" s="12">
        <v>6</v>
      </c>
      <c r="F8" s="13">
        <f t="shared" si="0"/>
        <v>2.7586206896551722E-3</v>
      </c>
    </row>
    <row r="9" spans="1:6">
      <c r="A9" s="12" t="s">
        <v>27</v>
      </c>
      <c r="B9" s="12" t="s">
        <v>26</v>
      </c>
      <c r="C9" s="12">
        <v>2005</v>
      </c>
      <c r="D9" s="12">
        <v>1926</v>
      </c>
      <c r="E9" s="12">
        <v>9</v>
      </c>
      <c r="F9" s="13">
        <f t="shared" si="0"/>
        <v>4.6728971962616819E-3</v>
      </c>
    </row>
    <row r="10" spans="1:6">
      <c r="A10" s="12" t="s">
        <v>25</v>
      </c>
      <c r="B10" s="12" t="s">
        <v>26</v>
      </c>
      <c r="C10" s="12">
        <v>2005</v>
      </c>
      <c r="D10" s="12">
        <v>2194</v>
      </c>
      <c r="E10" s="12">
        <v>23</v>
      </c>
      <c r="F10" s="13">
        <f t="shared" si="0"/>
        <v>1.0483135824977211E-2</v>
      </c>
    </row>
    <row r="11" spans="1:6">
      <c r="A11" s="12" t="s">
        <v>27</v>
      </c>
      <c r="B11" s="12" t="s">
        <v>26</v>
      </c>
      <c r="C11" s="12">
        <v>2005</v>
      </c>
      <c r="D11" s="12">
        <v>1720</v>
      </c>
      <c r="E11" s="12">
        <v>29</v>
      </c>
      <c r="F11" s="13">
        <f t="shared" si="0"/>
        <v>1.6860465116279071E-2</v>
      </c>
    </row>
    <row r="12" spans="1:6">
      <c r="A12" s="12" t="s">
        <v>23</v>
      </c>
      <c r="B12" s="12" t="s">
        <v>24</v>
      </c>
      <c r="C12" s="12">
        <v>2205</v>
      </c>
      <c r="D12" s="12">
        <v>2041</v>
      </c>
      <c r="E12" s="12">
        <v>15</v>
      </c>
      <c r="F12" s="13">
        <f t="shared" si="0"/>
        <v>7.3493385595296426E-3</v>
      </c>
    </row>
    <row r="13" spans="1:6">
      <c r="A13" s="12" t="s">
        <v>27</v>
      </c>
      <c r="B13" s="12" t="s">
        <v>26</v>
      </c>
      <c r="C13" s="12">
        <v>1905</v>
      </c>
      <c r="D13" s="12">
        <v>1726</v>
      </c>
      <c r="E13" s="12">
        <v>7</v>
      </c>
      <c r="F13" s="13">
        <f t="shared" si="0"/>
        <v>4.0556199304750866E-3</v>
      </c>
    </row>
    <row r="14" spans="1:6">
      <c r="A14" s="12" t="s">
        <v>28</v>
      </c>
      <c r="B14" s="12" t="s">
        <v>24</v>
      </c>
      <c r="C14" s="12">
        <v>1705</v>
      </c>
      <c r="D14" s="12">
        <v>1755</v>
      </c>
      <c r="E14" s="12">
        <v>15</v>
      </c>
      <c r="F14" s="13">
        <f t="shared" si="0"/>
        <v>8.5470085470085479E-3</v>
      </c>
    </row>
    <row r="15" spans="1:6">
      <c r="A15" s="12" t="s">
        <v>25</v>
      </c>
      <c r="B15" s="12" t="s">
        <v>26</v>
      </c>
      <c r="C15" s="12">
        <v>2205</v>
      </c>
      <c r="D15" s="12">
        <v>2077</v>
      </c>
      <c r="E15" s="12">
        <v>20</v>
      </c>
      <c r="F15" s="13">
        <f t="shared" si="0"/>
        <v>9.6292729898892638E-3</v>
      </c>
    </row>
    <row r="16" spans="1:6">
      <c r="A16" s="12" t="s">
        <v>23</v>
      </c>
      <c r="B16" s="12" t="s">
        <v>24</v>
      </c>
      <c r="C16" s="12">
        <v>2005</v>
      </c>
      <c r="D16" s="12">
        <v>2062</v>
      </c>
      <c r="E16" s="12">
        <v>12</v>
      </c>
      <c r="F16" s="13">
        <f t="shared" si="0"/>
        <v>5.8195926285160042E-3</v>
      </c>
    </row>
    <row r="17" spans="1:6">
      <c r="A17" s="12" t="s">
        <v>25</v>
      </c>
      <c r="B17" s="12" t="s">
        <v>26</v>
      </c>
      <c r="C17" s="12">
        <v>2005</v>
      </c>
      <c r="D17" s="12">
        <v>2114</v>
      </c>
      <c r="E17" s="12">
        <v>7</v>
      </c>
      <c r="F17" s="13">
        <f t="shared" si="0"/>
        <v>3.3112582781456954E-3</v>
      </c>
    </row>
    <row r="18" spans="1:6">
      <c r="A18" s="12" t="s">
        <v>28</v>
      </c>
      <c r="B18" s="12" t="s">
        <v>24</v>
      </c>
      <c r="C18" s="12">
        <v>1705</v>
      </c>
      <c r="D18" s="12">
        <v>1757</v>
      </c>
      <c r="E18" s="12">
        <v>8</v>
      </c>
      <c r="F18" s="13">
        <f t="shared" si="0"/>
        <v>4.5532157085941948E-3</v>
      </c>
    </row>
    <row r="19" spans="1:6">
      <c r="A19" s="12" t="s">
        <v>29</v>
      </c>
      <c r="B19" s="12" t="s">
        <v>24</v>
      </c>
      <c r="C19" s="12">
        <v>1500</v>
      </c>
      <c r="D19" s="12">
        <v>1350</v>
      </c>
      <c r="E19" s="12">
        <v>15</v>
      </c>
      <c r="F19" s="13">
        <f t="shared" si="0"/>
        <v>1.1111111111111112E-2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1EE3-CDD4-44FE-B8B0-C92643BC1554}">
  <dimension ref="A1:H17"/>
  <sheetViews>
    <sheetView topLeftCell="B1" workbookViewId="0">
      <selection activeCell="S9" sqref="S9"/>
    </sheetView>
  </sheetViews>
  <sheetFormatPr defaultRowHeight="16.899999999999999"/>
  <cols>
    <col min="5" max="8" width="10.3125" bestFit="1" customWidth="1"/>
  </cols>
  <sheetData>
    <row r="1" spans="1:8">
      <c r="A1" s="14" t="s">
        <v>30</v>
      </c>
      <c r="B1" s="14"/>
      <c r="C1" s="14"/>
      <c r="D1" s="14"/>
      <c r="E1" s="14"/>
      <c r="F1" s="14"/>
      <c r="G1" s="14"/>
      <c r="H1" s="14"/>
    </row>
    <row r="2" spans="1:8" ht="17.25" thickBot="1">
      <c r="A2" s="15"/>
      <c r="B2" s="15"/>
      <c r="C2" s="15"/>
      <c r="D2" s="15"/>
      <c r="E2" s="15"/>
      <c r="F2" s="15"/>
      <c r="G2" s="15"/>
    </row>
    <row r="3" spans="1:8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</row>
    <row r="4" spans="1:8">
      <c r="A4" s="15" t="s">
        <v>39</v>
      </c>
      <c r="B4" s="15" t="s">
        <v>40</v>
      </c>
      <c r="C4" s="15" t="s">
        <v>41</v>
      </c>
      <c r="D4" s="15" t="s">
        <v>42</v>
      </c>
      <c r="E4" s="17">
        <v>3000000</v>
      </c>
      <c r="F4" s="18">
        <v>1500000</v>
      </c>
      <c r="G4" s="18">
        <v>425000</v>
      </c>
      <c r="H4" s="18">
        <f>SUM(E4:G4)</f>
        <v>4925000</v>
      </c>
    </row>
    <row r="5" spans="1:8">
      <c r="A5" s="15" t="s">
        <v>43</v>
      </c>
      <c r="B5" s="15" t="s">
        <v>44</v>
      </c>
      <c r="C5" s="15" t="s">
        <v>45</v>
      </c>
      <c r="D5" s="15" t="s">
        <v>46</v>
      </c>
      <c r="E5" s="17">
        <v>2700000</v>
      </c>
      <c r="F5" s="18">
        <v>1305000</v>
      </c>
      <c r="G5" s="18">
        <v>485000</v>
      </c>
      <c r="H5" s="18">
        <f t="shared" ref="H5:H17" si="0">SUM(E5:G5)</f>
        <v>4490000</v>
      </c>
    </row>
    <row r="6" spans="1:8">
      <c r="A6" s="15" t="s">
        <v>39</v>
      </c>
      <c r="B6" s="15" t="s">
        <v>44</v>
      </c>
      <c r="C6" s="15" t="s">
        <v>45</v>
      </c>
      <c r="D6" s="15" t="s">
        <v>47</v>
      </c>
      <c r="E6" s="17">
        <v>3000000</v>
      </c>
      <c r="F6" s="18">
        <v>1500000</v>
      </c>
      <c r="G6" s="18">
        <v>846000</v>
      </c>
      <c r="H6" s="18">
        <f t="shared" si="0"/>
        <v>5346000</v>
      </c>
    </row>
    <row r="7" spans="1:8">
      <c r="A7" s="15" t="s">
        <v>48</v>
      </c>
      <c r="B7" s="15" t="s">
        <v>40</v>
      </c>
      <c r="C7" s="15" t="s">
        <v>41</v>
      </c>
      <c r="D7" s="15" t="s">
        <v>49</v>
      </c>
      <c r="E7" s="17">
        <v>2200000</v>
      </c>
      <c r="F7" s="18">
        <v>980000</v>
      </c>
      <c r="G7" s="18">
        <v>375000</v>
      </c>
      <c r="H7" s="18">
        <f t="shared" si="0"/>
        <v>3555000</v>
      </c>
    </row>
    <row r="8" spans="1:8">
      <c r="A8" s="15" t="s">
        <v>48</v>
      </c>
      <c r="B8" s="15" t="s">
        <v>50</v>
      </c>
      <c r="C8" s="15" t="s">
        <v>51</v>
      </c>
      <c r="D8" s="15" t="s">
        <v>52</v>
      </c>
      <c r="E8" s="17">
        <v>2200000</v>
      </c>
      <c r="F8" s="18">
        <v>780000</v>
      </c>
      <c r="G8" s="18">
        <v>300000</v>
      </c>
      <c r="H8" s="18">
        <f t="shared" si="0"/>
        <v>3280000</v>
      </c>
    </row>
    <row r="9" spans="1:8">
      <c r="A9" s="15" t="s">
        <v>39</v>
      </c>
      <c r="B9" s="15" t="s">
        <v>50</v>
      </c>
      <c r="C9" s="15" t="s">
        <v>51</v>
      </c>
      <c r="D9" s="15" t="s">
        <v>53</v>
      </c>
      <c r="E9" s="17">
        <v>3000000</v>
      </c>
      <c r="F9" s="18">
        <v>1500000</v>
      </c>
      <c r="G9" s="18">
        <v>1500000</v>
      </c>
      <c r="H9" s="18">
        <f t="shared" si="0"/>
        <v>6000000</v>
      </c>
    </row>
    <row r="10" spans="1:8">
      <c r="A10" s="15" t="s">
        <v>43</v>
      </c>
      <c r="B10" s="15" t="s">
        <v>40</v>
      </c>
      <c r="C10" s="15" t="s">
        <v>51</v>
      </c>
      <c r="D10" s="15" t="s">
        <v>54</v>
      </c>
      <c r="E10" s="17">
        <v>2700000</v>
      </c>
      <c r="F10" s="18">
        <v>1305000</v>
      </c>
      <c r="G10" s="18">
        <v>626000</v>
      </c>
      <c r="H10" s="18">
        <f t="shared" si="0"/>
        <v>4631000</v>
      </c>
    </row>
    <row r="11" spans="1:8">
      <c r="A11" s="15" t="s">
        <v>48</v>
      </c>
      <c r="B11" s="15" t="s">
        <v>44</v>
      </c>
      <c r="C11" s="15" t="s">
        <v>45</v>
      </c>
      <c r="D11" s="15" t="s">
        <v>55</v>
      </c>
      <c r="E11" s="17">
        <v>2200000</v>
      </c>
      <c r="F11" s="18">
        <v>980000</v>
      </c>
      <c r="G11" s="18">
        <v>739000</v>
      </c>
      <c r="H11" s="18">
        <f t="shared" si="0"/>
        <v>3919000</v>
      </c>
    </row>
    <row r="12" spans="1:8">
      <c r="A12" s="15" t="s">
        <v>43</v>
      </c>
      <c r="B12" s="15" t="s">
        <v>50</v>
      </c>
      <c r="C12" s="15" t="s">
        <v>41</v>
      </c>
      <c r="D12" s="15" t="s">
        <v>56</v>
      </c>
      <c r="E12" s="17">
        <v>2700000</v>
      </c>
      <c r="F12" s="18">
        <v>1305000</v>
      </c>
      <c r="G12" s="18">
        <v>302000</v>
      </c>
      <c r="H12" s="18">
        <f t="shared" si="0"/>
        <v>4307000</v>
      </c>
    </row>
    <row r="13" spans="1:8">
      <c r="A13" s="15" t="s">
        <v>39</v>
      </c>
      <c r="B13" s="15" t="s">
        <v>40</v>
      </c>
      <c r="C13" s="15" t="s">
        <v>45</v>
      </c>
      <c r="D13" s="15" t="s">
        <v>57</v>
      </c>
      <c r="E13" s="17">
        <v>3000000</v>
      </c>
      <c r="F13" s="18">
        <v>1500000</v>
      </c>
      <c r="G13" s="18">
        <v>571000</v>
      </c>
      <c r="H13" s="18">
        <f t="shared" si="0"/>
        <v>5071000</v>
      </c>
    </row>
    <row r="14" spans="1:8">
      <c r="A14" s="15" t="s">
        <v>43</v>
      </c>
      <c r="B14" s="15" t="s">
        <v>50</v>
      </c>
      <c r="C14" s="15" t="s">
        <v>41</v>
      </c>
      <c r="D14" s="15" t="s">
        <v>58</v>
      </c>
      <c r="E14" s="17">
        <v>2700000</v>
      </c>
      <c r="F14" s="18">
        <v>1305000</v>
      </c>
      <c r="G14" s="18">
        <v>812100</v>
      </c>
      <c r="H14" s="18">
        <f t="shared" si="0"/>
        <v>4817100</v>
      </c>
    </row>
    <row r="15" spans="1:8">
      <c r="A15" s="15" t="s">
        <v>43</v>
      </c>
      <c r="B15" s="15" t="s">
        <v>44</v>
      </c>
      <c r="C15" s="15" t="s">
        <v>45</v>
      </c>
      <c r="D15" s="15" t="s">
        <v>59</v>
      </c>
      <c r="E15" s="17">
        <v>2700000</v>
      </c>
      <c r="F15" s="18">
        <v>1305000</v>
      </c>
      <c r="G15" s="18">
        <v>1350000</v>
      </c>
      <c r="H15" s="18">
        <f t="shared" si="0"/>
        <v>5355000</v>
      </c>
    </row>
    <row r="16" spans="1:8">
      <c r="A16" s="15" t="s">
        <v>39</v>
      </c>
      <c r="B16" s="15" t="s">
        <v>40</v>
      </c>
      <c r="C16" s="15" t="s">
        <v>45</v>
      </c>
      <c r="D16" s="15" t="s">
        <v>60</v>
      </c>
      <c r="E16" s="17">
        <v>3000000</v>
      </c>
      <c r="F16" s="18">
        <v>1500000</v>
      </c>
      <c r="G16" s="18">
        <v>2177000</v>
      </c>
      <c r="H16" s="18">
        <f t="shared" si="0"/>
        <v>6677000</v>
      </c>
    </row>
    <row r="17" spans="1:8">
      <c r="A17" s="15" t="s">
        <v>48</v>
      </c>
      <c r="B17" s="15" t="s">
        <v>50</v>
      </c>
      <c r="C17" s="15" t="s">
        <v>41</v>
      </c>
      <c r="D17" s="15" t="s">
        <v>61</v>
      </c>
      <c r="E17" s="17">
        <v>2200000</v>
      </c>
      <c r="F17" s="18">
        <v>980000</v>
      </c>
      <c r="G17" s="18">
        <v>371500</v>
      </c>
      <c r="H17" s="18">
        <f t="shared" si="0"/>
        <v>3551500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F42E-D45C-4F7E-A737-34CA9A517569}">
  <dimension ref="A1:G14"/>
  <sheetViews>
    <sheetView workbookViewId="0">
      <selection activeCell="R11" sqref="R11"/>
    </sheetView>
  </sheetViews>
  <sheetFormatPr defaultRowHeight="16.899999999999999"/>
  <cols>
    <col min="2" max="2" width="10.5625" bestFit="1" customWidth="1"/>
    <col min="5" max="5" width="15.8125" bestFit="1" customWidth="1"/>
  </cols>
  <sheetData>
    <row r="1" spans="1:7" ht="20.65">
      <c r="A1" s="11" t="s">
        <v>62</v>
      </c>
      <c r="B1" s="11"/>
      <c r="C1" s="11"/>
      <c r="D1" s="11"/>
      <c r="E1" s="11"/>
      <c r="F1" s="11"/>
      <c r="G1" s="11"/>
    </row>
    <row r="3" spans="1:7">
      <c r="A3" s="12" t="s">
        <v>63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</row>
    <row r="4" spans="1:7">
      <c r="A4" s="12">
        <v>20345180</v>
      </c>
      <c r="B4" s="19">
        <v>45356</v>
      </c>
      <c r="C4" s="12" t="s">
        <v>70</v>
      </c>
      <c r="D4" s="12" t="s">
        <v>71</v>
      </c>
      <c r="E4" s="12" t="s">
        <v>72</v>
      </c>
      <c r="F4" s="12">
        <v>4</v>
      </c>
      <c r="G4" s="20">
        <v>66400</v>
      </c>
    </row>
    <row r="5" spans="1:7">
      <c r="A5" s="12">
        <v>25340699</v>
      </c>
      <c r="B5" s="19">
        <v>45363</v>
      </c>
      <c r="C5" s="12" t="s">
        <v>73</v>
      </c>
      <c r="D5" s="12" t="s">
        <v>74</v>
      </c>
      <c r="E5" s="12" t="s">
        <v>75</v>
      </c>
      <c r="F5" s="12">
        <v>3</v>
      </c>
      <c r="G5" s="20">
        <v>96000</v>
      </c>
    </row>
    <row r="6" spans="1:7">
      <c r="A6" s="12">
        <v>31785268</v>
      </c>
      <c r="B6" s="19">
        <v>45391</v>
      </c>
      <c r="C6" s="12" t="s">
        <v>76</v>
      </c>
      <c r="D6" s="12" t="s">
        <v>77</v>
      </c>
      <c r="E6" s="12" t="s">
        <v>78</v>
      </c>
      <c r="F6" s="12">
        <v>2</v>
      </c>
      <c r="G6" s="20">
        <v>199800</v>
      </c>
    </row>
    <row r="7" spans="1:7">
      <c r="A7" s="12">
        <v>37856884</v>
      </c>
      <c r="B7" s="19">
        <v>45399</v>
      </c>
      <c r="C7" s="12" t="s">
        <v>79</v>
      </c>
      <c r="D7" s="12" t="s">
        <v>71</v>
      </c>
      <c r="E7" s="12" t="s">
        <v>80</v>
      </c>
      <c r="F7" s="12">
        <v>4</v>
      </c>
      <c r="G7" s="20">
        <v>170000</v>
      </c>
    </row>
    <row r="8" spans="1:7">
      <c r="A8" s="12">
        <v>47306722</v>
      </c>
      <c r="B8" s="19">
        <v>45408</v>
      </c>
      <c r="C8" s="12" t="s">
        <v>81</v>
      </c>
      <c r="D8" s="12" t="s">
        <v>74</v>
      </c>
      <c r="E8" s="12" t="s">
        <v>82</v>
      </c>
      <c r="F8" s="12">
        <v>5</v>
      </c>
      <c r="G8" s="20">
        <v>58000</v>
      </c>
    </row>
    <row r="9" spans="1:7">
      <c r="A9" s="12">
        <v>47689033</v>
      </c>
      <c r="B9" s="19">
        <v>45419</v>
      </c>
      <c r="C9" s="12" t="s">
        <v>83</v>
      </c>
      <c r="D9" s="12" t="s">
        <v>71</v>
      </c>
      <c r="E9" s="12" t="s">
        <v>84</v>
      </c>
      <c r="F9" s="12">
        <v>3</v>
      </c>
      <c r="G9" s="20">
        <v>105300</v>
      </c>
    </row>
    <row r="10" spans="1:7">
      <c r="A10" s="12">
        <v>51437891</v>
      </c>
      <c r="B10" s="19">
        <v>45428</v>
      </c>
      <c r="C10" s="12" t="s">
        <v>85</v>
      </c>
      <c r="D10" s="12" t="s">
        <v>77</v>
      </c>
      <c r="E10" s="12" t="s">
        <v>86</v>
      </c>
      <c r="F10" s="12">
        <v>4</v>
      </c>
      <c r="G10" s="20">
        <v>226800</v>
      </c>
    </row>
    <row r="11" spans="1:7">
      <c r="A11" s="12">
        <v>67411029</v>
      </c>
      <c r="B11" s="19">
        <v>45442</v>
      </c>
      <c r="C11" s="12" t="s">
        <v>87</v>
      </c>
      <c r="D11" s="12" t="s">
        <v>74</v>
      </c>
      <c r="E11" s="12" t="s">
        <v>88</v>
      </c>
      <c r="F11" s="12">
        <v>1</v>
      </c>
      <c r="G11" s="20">
        <v>135000</v>
      </c>
    </row>
    <row r="12" spans="1:7">
      <c r="A12" s="12">
        <v>74893056</v>
      </c>
      <c r="B12" s="19">
        <v>45451</v>
      </c>
      <c r="C12" s="12" t="s">
        <v>89</v>
      </c>
      <c r="D12" s="12" t="s">
        <v>71</v>
      </c>
      <c r="E12" s="12" t="s">
        <v>90</v>
      </c>
      <c r="F12" s="12">
        <v>3</v>
      </c>
      <c r="G12" s="20">
        <v>50400</v>
      </c>
    </row>
    <row r="13" spans="1:7">
      <c r="A13" s="12">
        <v>89620367</v>
      </c>
      <c r="B13" s="19">
        <v>45462</v>
      </c>
      <c r="C13" s="12" t="s">
        <v>91</v>
      </c>
      <c r="D13" s="12" t="s">
        <v>71</v>
      </c>
      <c r="E13" s="12" t="s">
        <v>92</v>
      </c>
      <c r="F13" s="12">
        <v>1</v>
      </c>
      <c r="G13" s="20">
        <v>110000</v>
      </c>
    </row>
    <row r="14" spans="1:7">
      <c r="A14" s="12">
        <v>97145045</v>
      </c>
      <c r="B14" s="19">
        <v>45465</v>
      </c>
      <c r="C14" s="12" t="s">
        <v>93</v>
      </c>
      <c r="D14" s="12" t="s">
        <v>77</v>
      </c>
      <c r="E14" s="12" t="s">
        <v>94</v>
      </c>
      <c r="F14" s="12">
        <v>2</v>
      </c>
      <c r="G14" s="20">
        <v>10600</v>
      </c>
    </row>
  </sheetData>
  <mergeCells count="1">
    <mergeCell ref="A1:G1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8E54-FE27-4DBA-B2A2-10F221C8F60C}">
  <dimension ref="A1:H14"/>
  <sheetViews>
    <sheetView workbookViewId="0">
      <selection activeCell="N11" sqref="N11"/>
    </sheetView>
  </sheetViews>
  <sheetFormatPr defaultRowHeight="16.899999999999999"/>
  <cols>
    <col min="4" max="5" width="10.3125" bestFit="1" customWidth="1"/>
    <col min="7" max="7" width="10.3125" bestFit="1" customWidth="1"/>
  </cols>
  <sheetData>
    <row r="1" spans="1:8" ht="24.75">
      <c r="A1" s="21" t="s">
        <v>95</v>
      </c>
      <c r="B1" s="21"/>
      <c r="C1" s="21"/>
      <c r="D1" s="21"/>
      <c r="E1" s="21"/>
      <c r="F1" s="21"/>
      <c r="G1" s="21"/>
      <c r="H1" s="21"/>
    </row>
    <row r="2" spans="1:8">
      <c r="A2" s="22"/>
      <c r="B2" s="22"/>
      <c r="C2" s="22"/>
      <c r="D2" s="22"/>
      <c r="E2" s="22"/>
      <c r="F2" s="22"/>
      <c r="G2" s="22"/>
      <c r="H2" s="22"/>
    </row>
    <row r="3" spans="1:8">
      <c r="A3" s="23" t="s">
        <v>96</v>
      </c>
      <c r="B3" s="23" t="s">
        <v>97</v>
      </c>
      <c r="C3" s="23" t="s">
        <v>98</v>
      </c>
      <c r="D3" s="23" t="s">
        <v>99</v>
      </c>
      <c r="E3" s="23" t="s">
        <v>100</v>
      </c>
      <c r="F3" s="23" t="s">
        <v>101</v>
      </c>
      <c r="G3" s="23" t="s">
        <v>102</v>
      </c>
      <c r="H3" s="23" t="s">
        <v>103</v>
      </c>
    </row>
    <row r="4" spans="1:8">
      <c r="A4" s="23" t="s">
        <v>104</v>
      </c>
      <c r="B4" s="23" t="s">
        <v>105</v>
      </c>
      <c r="C4" s="23" t="s">
        <v>106</v>
      </c>
      <c r="D4" s="24">
        <v>3488000</v>
      </c>
      <c r="E4" s="24">
        <f>IF(B4="과장",D4*60%,IF(B4="대리",D4*40%,D4*30%))</f>
        <v>1046400</v>
      </c>
      <c r="F4" s="24">
        <f>IF(B4="과장",500000,IF(B4="대리",400000,300000))</f>
        <v>300000</v>
      </c>
      <c r="G4" s="24">
        <f>E4+F4</f>
        <v>1346400</v>
      </c>
      <c r="H4" s="23" t="str">
        <f>IF(G4&gt;=1000000,"A",IF(G4&gt;=500000,"B","C"))</f>
        <v>A</v>
      </c>
    </row>
    <row r="5" spans="1:8">
      <c r="A5" s="23" t="s">
        <v>107</v>
      </c>
      <c r="B5" s="23" t="s">
        <v>43</v>
      </c>
      <c r="C5" s="23" t="s">
        <v>108</v>
      </c>
      <c r="D5" s="24">
        <v>2998000</v>
      </c>
      <c r="E5" s="24">
        <f t="shared" ref="E5:E14" si="0">IF(B5="과장",D5*60%,IF(B5="대리",D5*40%,D5*30%))</f>
        <v>1798800</v>
      </c>
      <c r="F5" s="24">
        <f t="shared" ref="F5:F14" si="1">IF(B5="과장",500000,IF(B5="대리",400000,300000))</f>
        <v>500000</v>
      </c>
      <c r="G5" s="24">
        <f t="shared" ref="G5:G14" si="2">E5+F5</f>
        <v>2298800</v>
      </c>
      <c r="H5" s="23" t="str">
        <f t="shared" ref="H5:H14" si="3">IF(G5&gt;=1000000,"A",IF(G5&gt;=500000,"B","C"))</f>
        <v>A</v>
      </c>
    </row>
    <row r="6" spans="1:8">
      <c r="A6" s="23" t="s">
        <v>109</v>
      </c>
      <c r="B6" s="23" t="s">
        <v>48</v>
      </c>
      <c r="C6" s="23" t="s">
        <v>110</v>
      </c>
      <c r="D6" s="24">
        <v>3750000</v>
      </c>
      <c r="E6" s="24">
        <f t="shared" si="0"/>
        <v>1500000</v>
      </c>
      <c r="F6" s="24">
        <f t="shared" si="1"/>
        <v>400000</v>
      </c>
      <c r="G6" s="24">
        <f t="shared" si="2"/>
        <v>1900000</v>
      </c>
      <c r="H6" s="23" t="str">
        <f t="shared" si="3"/>
        <v>A</v>
      </c>
    </row>
    <row r="7" spans="1:8">
      <c r="A7" s="23" t="s">
        <v>111</v>
      </c>
      <c r="B7" s="23" t="s">
        <v>105</v>
      </c>
      <c r="C7" s="23" t="s">
        <v>112</v>
      </c>
      <c r="D7" s="24">
        <v>2000000</v>
      </c>
      <c r="E7" s="24">
        <f t="shared" si="0"/>
        <v>600000</v>
      </c>
      <c r="F7" s="24">
        <f t="shared" si="1"/>
        <v>300000</v>
      </c>
      <c r="G7" s="24">
        <f t="shared" si="2"/>
        <v>900000</v>
      </c>
      <c r="H7" s="23" t="str">
        <f t="shared" si="3"/>
        <v>B</v>
      </c>
    </row>
    <row r="8" spans="1:8">
      <c r="A8" s="23" t="s">
        <v>113</v>
      </c>
      <c r="B8" s="23" t="s">
        <v>43</v>
      </c>
      <c r="C8" s="23" t="s">
        <v>114</v>
      </c>
      <c r="D8" s="24">
        <v>3080000</v>
      </c>
      <c r="E8" s="24">
        <f t="shared" si="0"/>
        <v>1848000</v>
      </c>
      <c r="F8" s="24">
        <f t="shared" si="1"/>
        <v>500000</v>
      </c>
      <c r="G8" s="24">
        <f t="shared" si="2"/>
        <v>2348000</v>
      </c>
      <c r="H8" s="23" t="str">
        <f t="shared" si="3"/>
        <v>A</v>
      </c>
    </row>
    <row r="9" spans="1:8">
      <c r="A9" s="23" t="s">
        <v>115</v>
      </c>
      <c r="B9" s="23" t="s">
        <v>43</v>
      </c>
      <c r="C9" s="23" t="s">
        <v>106</v>
      </c>
      <c r="D9" s="24">
        <v>2800000</v>
      </c>
      <c r="E9" s="24">
        <f t="shared" si="0"/>
        <v>1680000</v>
      </c>
      <c r="F9" s="24">
        <f t="shared" si="1"/>
        <v>500000</v>
      </c>
      <c r="G9" s="24">
        <f t="shared" si="2"/>
        <v>2180000</v>
      </c>
      <c r="H9" s="23" t="str">
        <f t="shared" si="3"/>
        <v>A</v>
      </c>
    </row>
    <row r="10" spans="1:8">
      <c r="A10" s="23" t="s">
        <v>116</v>
      </c>
      <c r="B10" s="23" t="s">
        <v>105</v>
      </c>
      <c r="C10" s="23" t="s">
        <v>117</v>
      </c>
      <c r="D10" s="24">
        <v>1700000</v>
      </c>
      <c r="E10" s="24">
        <f t="shared" si="0"/>
        <v>510000</v>
      </c>
      <c r="F10" s="24">
        <f t="shared" si="1"/>
        <v>300000</v>
      </c>
      <c r="G10" s="24">
        <f t="shared" si="2"/>
        <v>810000</v>
      </c>
      <c r="H10" s="23" t="str">
        <f t="shared" si="3"/>
        <v>B</v>
      </c>
    </row>
    <row r="11" spans="1:8">
      <c r="A11" s="23" t="s">
        <v>118</v>
      </c>
      <c r="B11" s="23" t="s">
        <v>48</v>
      </c>
      <c r="C11" s="23" t="s">
        <v>106</v>
      </c>
      <c r="D11" s="24">
        <v>2360000</v>
      </c>
      <c r="E11" s="24">
        <f t="shared" si="0"/>
        <v>944000</v>
      </c>
      <c r="F11" s="24">
        <f t="shared" si="1"/>
        <v>400000</v>
      </c>
      <c r="G11" s="24">
        <f t="shared" si="2"/>
        <v>1344000</v>
      </c>
      <c r="H11" s="23" t="str">
        <f t="shared" si="3"/>
        <v>A</v>
      </c>
    </row>
    <row r="12" spans="1:8">
      <c r="A12" s="23" t="s">
        <v>119</v>
      </c>
      <c r="B12" s="23" t="s">
        <v>48</v>
      </c>
      <c r="C12" s="23" t="s">
        <v>108</v>
      </c>
      <c r="D12" s="24">
        <v>2950000</v>
      </c>
      <c r="E12" s="24">
        <f t="shared" si="0"/>
        <v>1180000</v>
      </c>
      <c r="F12" s="24">
        <f t="shared" si="1"/>
        <v>400000</v>
      </c>
      <c r="G12" s="24">
        <f t="shared" si="2"/>
        <v>1580000</v>
      </c>
      <c r="H12" s="23" t="str">
        <f t="shared" si="3"/>
        <v>A</v>
      </c>
    </row>
    <row r="13" spans="1:8">
      <c r="A13" s="23" t="s">
        <v>120</v>
      </c>
      <c r="B13" s="23" t="s">
        <v>43</v>
      </c>
      <c r="C13" s="23" t="s">
        <v>114</v>
      </c>
      <c r="D13" s="24">
        <v>3900000</v>
      </c>
      <c r="E13" s="24">
        <f t="shared" si="0"/>
        <v>2340000</v>
      </c>
      <c r="F13" s="24">
        <f t="shared" si="1"/>
        <v>500000</v>
      </c>
      <c r="G13" s="24">
        <f t="shared" si="2"/>
        <v>2840000</v>
      </c>
      <c r="H13" s="23" t="str">
        <f t="shared" si="3"/>
        <v>A</v>
      </c>
    </row>
    <row r="14" spans="1:8">
      <c r="A14" s="23" t="s">
        <v>121</v>
      </c>
      <c r="B14" s="23" t="s">
        <v>43</v>
      </c>
      <c r="C14" s="23" t="s">
        <v>110</v>
      </c>
      <c r="D14" s="24">
        <v>3200000</v>
      </c>
      <c r="E14" s="24">
        <f t="shared" si="0"/>
        <v>1920000</v>
      </c>
      <c r="F14" s="24">
        <f t="shared" si="1"/>
        <v>500000</v>
      </c>
      <c r="G14" s="24">
        <f t="shared" si="2"/>
        <v>2420000</v>
      </c>
      <c r="H14" s="23" t="str">
        <f t="shared" si="3"/>
        <v>A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E81C-E030-4E2A-BA0E-52BEFBBDC23F}">
  <dimension ref="A9:D23"/>
  <sheetViews>
    <sheetView zoomScaleNormal="100" workbookViewId="0">
      <selection activeCell="Q11" sqref="Q11"/>
    </sheetView>
  </sheetViews>
  <sheetFormatPr defaultRowHeight="16.899999999999999"/>
  <cols>
    <col min="1" max="1" width="9.4375" bestFit="1" customWidth="1"/>
    <col min="2" max="2" width="11.1875" bestFit="1" customWidth="1"/>
  </cols>
  <sheetData>
    <row r="9" spans="1:4">
      <c r="A9" s="1" t="s">
        <v>0</v>
      </c>
      <c r="B9" s="1" t="s">
        <v>1</v>
      </c>
      <c r="C9" s="2" t="s">
        <v>2</v>
      </c>
      <c r="D9" s="1" t="s">
        <v>3</v>
      </c>
    </row>
    <row r="10" spans="1:4">
      <c r="A10" s="3" t="s">
        <v>4</v>
      </c>
      <c r="B10" s="3" t="s">
        <v>5</v>
      </c>
      <c r="C10" s="4" t="s">
        <v>6</v>
      </c>
      <c r="D10" s="5">
        <v>612700</v>
      </c>
    </row>
    <row r="11" spans="1:4">
      <c r="A11" s="6" t="s">
        <v>7</v>
      </c>
      <c r="B11" s="6" t="s">
        <v>8</v>
      </c>
      <c r="C11" s="7" t="s">
        <v>9</v>
      </c>
      <c r="D11" s="8">
        <v>13000</v>
      </c>
    </row>
    <row r="12" spans="1:4">
      <c r="A12" s="6" t="s">
        <v>7</v>
      </c>
      <c r="B12" s="6" t="s">
        <v>8</v>
      </c>
      <c r="C12" s="7" t="s">
        <v>6</v>
      </c>
      <c r="D12" s="8">
        <v>46000</v>
      </c>
    </row>
    <row r="13" spans="1:4">
      <c r="A13" s="6" t="s">
        <v>10</v>
      </c>
      <c r="B13" s="6" t="s">
        <v>11</v>
      </c>
      <c r="C13" s="7" t="s">
        <v>9</v>
      </c>
      <c r="D13" s="8">
        <v>3000</v>
      </c>
    </row>
    <row r="14" spans="1:4">
      <c r="A14" s="6" t="s">
        <v>7</v>
      </c>
      <c r="B14" s="6" t="s">
        <v>11</v>
      </c>
      <c r="C14" s="7" t="s">
        <v>12</v>
      </c>
      <c r="D14" s="8">
        <v>536790</v>
      </c>
    </row>
    <row r="15" spans="1:4">
      <c r="A15" s="6" t="s">
        <v>7</v>
      </c>
      <c r="B15" s="6" t="s">
        <v>11</v>
      </c>
      <c r="C15" s="7" t="s">
        <v>9</v>
      </c>
      <c r="D15" s="8">
        <v>1738200</v>
      </c>
    </row>
    <row r="16" spans="1:4">
      <c r="A16" s="6" t="s">
        <v>7</v>
      </c>
      <c r="B16" s="6" t="s">
        <v>13</v>
      </c>
      <c r="C16" s="7" t="s">
        <v>6</v>
      </c>
      <c r="D16" s="8">
        <v>23520</v>
      </c>
    </row>
    <row r="17" spans="1:4">
      <c r="A17" s="9" t="s">
        <v>4</v>
      </c>
      <c r="B17" s="9" t="s">
        <v>5</v>
      </c>
      <c r="C17" s="10" t="s">
        <v>12</v>
      </c>
      <c r="D17" s="5">
        <v>58600</v>
      </c>
    </row>
    <row r="18" spans="1:4">
      <c r="A18" s="9" t="s">
        <v>4</v>
      </c>
      <c r="B18" s="9" t="s">
        <v>5</v>
      </c>
      <c r="C18" s="10" t="s">
        <v>12</v>
      </c>
      <c r="D18" s="5">
        <v>117840</v>
      </c>
    </row>
    <row r="19" spans="1:4">
      <c r="A19" s="9" t="s">
        <v>14</v>
      </c>
      <c r="B19" s="9" t="s">
        <v>13</v>
      </c>
      <c r="C19" s="10" t="s">
        <v>6</v>
      </c>
      <c r="D19" s="5">
        <v>220000</v>
      </c>
    </row>
    <row r="20" spans="1:4">
      <c r="A20" s="9" t="s">
        <v>4</v>
      </c>
      <c r="B20" s="9" t="s">
        <v>5</v>
      </c>
      <c r="C20" s="10" t="s">
        <v>12</v>
      </c>
      <c r="D20" s="5">
        <v>44700</v>
      </c>
    </row>
    <row r="21" spans="1:4">
      <c r="A21" s="9" t="s">
        <v>4</v>
      </c>
      <c r="B21" s="9" t="s">
        <v>5</v>
      </c>
      <c r="C21" s="10" t="s">
        <v>6</v>
      </c>
      <c r="D21" s="5">
        <v>88400</v>
      </c>
    </row>
    <row r="22" spans="1:4">
      <c r="A22" s="9" t="s">
        <v>4</v>
      </c>
      <c r="B22" s="9" t="s">
        <v>5</v>
      </c>
      <c r="C22" s="10" t="s">
        <v>15</v>
      </c>
      <c r="D22" s="5">
        <v>107190</v>
      </c>
    </row>
    <row r="23" spans="1:4">
      <c r="A23" s="9" t="s">
        <v>4</v>
      </c>
      <c r="B23" s="9" t="s">
        <v>5</v>
      </c>
      <c r="C23" s="10" t="s">
        <v>9</v>
      </c>
      <c r="D23" s="5">
        <v>360600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코딩 정석</dc:creator>
  <cp:lastModifiedBy>코딩 정석</cp:lastModifiedBy>
  <cp:lastPrinted>2025-11-26T11:33:18Z</cp:lastPrinted>
  <dcterms:created xsi:type="dcterms:W3CDTF">2025-11-26T11:24:52Z</dcterms:created>
  <dcterms:modified xsi:type="dcterms:W3CDTF">2025-11-26T12:53:40Z</dcterms:modified>
</cp:coreProperties>
</file>