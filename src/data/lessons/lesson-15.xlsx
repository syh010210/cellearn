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A950805C-28A5-468E-BDC4-1A5A3ABDCB19}" xr6:coauthVersionLast="47" xr6:coauthVersionMax="47" xr10:uidLastSave="{00000000-0000-0000-0000-000000000000}"/>
  <bookViews>
    <workbookView xWindow="-98" yWindow="-98" windowWidth="21795" windowHeight="12975" activeTab="2" xr2:uid="{00758523-5836-4F9F-982D-AA67503EEAA7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6" i="2" l="1"/>
  <c r="B3" i="3" l="1"/>
  <c r="B13" i="1"/>
</calcChain>
</file>

<file path=xl/sharedStrings.xml><?xml version="1.0" encoding="utf-8"?>
<sst xmlns="http://schemas.openxmlformats.org/spreadsheetml/2006/main" count="23" uniqueCount="18">
  <si>
    <t>셔틀콕 매출액</t>
    <phoneticPr fontId="2" type="noConversion"/>
  </si>
  <si>
    <t>판매가격</t>
    <phoneticPr fontId="2" type="noConversion"/>
  </si>
  <si>
    <t>판매수량</t>
    <phoneticPr fontId="2" type="noConversion"/>
  </si>
  <si>
    <t>할인율</t>
    <phoneticPr fontId="2" type="noConversion"/>
  </si>
  <si>
    <t>매출액</t>
    <phoneticPr fontId="2" type="noConversion"/>
  </si>
  <si>
    <t>정기적금</t>
  </si>
  <si>
    <t>적립목표금액</t>
    <phoneticPr fontId="2" type="noConversion"/>
  </si>
  <si>
    <t>월불입액</t>
    <phoneticPr fontId="2" type="noConversion"/>
  </si>
  <si>
    <t>기간(년)</t>
    <phoneticPr fontId="2" type="noConversion"/>
  </si>
  <si>
    <t>이자율(년)</t>
    <phoneticPr fontId="2" type="noConversion"/>
  </si>
  <si>
    <t>목표기간(년)</t>
    <phoneticPr fontId="2" type="noConversion"/>
  </si>
  <si>
    <t>[표1]  아르바이트 급여</t>
    <phoneticPr fontId="2" type="noConversion"/>
  </si>
  <si>
    <t>시급</t>
    <phoneticPr fontId="2" type="noConversion"/>
  </si>
  <si>
    <t>출근시간</t>
    <phoneticPr fontId="2" type="noConversion"/>
  </si>
  <si>
    <t>퇴근시간</t>
    <phoneticPr fontId="2" type="noConversion"/>
  </si>
  <si>
    <t>근무일수</t>
    <phoneticPr fontId="2" type="noConversion"/>
  </si>
  <si>
    <t>급여총액</t>
    <phoneticPr fontId="2" type="noConversion"/>
  </si>
  <si>
    <t>[표2]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</si>
</sst>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&quot;₩&quot;* #,##0_-;\-&quot;₩&quot;* #,##0_-;_-&quot;₩&quot;* &quot;-&quot;_-;_-@_-"/>
    <numFmt numFmtId="41" formatCode="_-* #,##0_-;\-* #,##0_-;_-* &quot;-&quot;_-;_-@_-"/>
    <numFmt numFmtId="176" formatCode="0.0%"/>
    <numFmt numFmtId="177" formatCode="0&quot;년&quot;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41" fontId="0" fillId="0" borderId="1" xfId="1" applyFont="1" applyBorder="1">
      <alignment vertical="center"/>
    </xf>
    <xf numFmtId="0" fontId="0" fillId="0" borderId="1" xfId="0" applyBorder="1" applyAlignment="1">
      <alignment horizontal="center" vertical="center"/>
    </xf>
    <xf numFmtId="10" fontId="0" fillId="0" borderId="1" xfId="0" applyNumberFormat="1" applyBorder="1">
      <alignment vertical="center"/>
    </xf>
    <xf numFmtId="41" fontId="0" fillId="0" borderId="0" xfId="0" applyNumberFormat="1">
      <alignment vertical="center"/>
    </xf>
    <xf numFmtId="0" fontId="0" fillId="2" borderId="1" xfId="0" applyFill="1" applyBorder="1" applyAlignment="1">
      <alignment horizontal="center" vertical="center"/>
    </xf>
    <xf numFmtId="176" fontId="0" fillId="2" borderId="1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textRotation="255"/>
    </xf>
    <xf numFmtId="0" fontId="3" fillId="0" borderId="0" xfId="0" applyFont="1" applyAlignment="1">
      <alignment horizontal="center" vertical="center"/>
    </xf>
    <xf numFmtId="42" fontId="0" fillId="0" borderId="1" xfId="2" applyFont="1" applyBorder="1">
      <alignment vertical="center"/>
    </xf>
    <xf numFmtId="176" fontId="0" fillId="0" borderId="1" xfId="3" applyNumberFormat="1" applyFont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0" fontId="0" fillId="0" borderId="1" xfId="2" applyNumberFormat="1" applyFont="1" applyBorder="1" applyAlignment="1">
      <alignment horizontal="center" vertical="center"/>
    </xf>
    <xf numFmtId="20" fontId="0" fillId="0" borderId="1" xfId="0" applyNumberFormat="1" applyBorder="1">
      <alignment vertical="center"/>
    </xf>
    <xf numFmtId="41" fontId="0" fillId="0" borderId="0" xfId="1" applyFont="1" applyBorder="1">
      <alignment vertical="center"/>
    </xf>
    <xf numFmtId="0" fontId="4" fillId="0" borderId="0" xfId="0" applyFont="1" applyAlignment="1">
      <alignment horizontal="center" vertical="center"/>
    </xf>
    <xf numFmtId="41" fontId="0" fillId="0" borderId="1" xfId="0" applyNumberFormat="1" applyBorder="1">
      <alignment vertical="center"/>
    </xf>
    <xf numFmtId="41" fontId="0" fillId="2" borderId="1" xfId="1" applyFont="1" applyFill="1" applyBorder="1">
      <alignment vertical="center"/>
    </xf>
  </cellXfs>
  <cellStyles count="4">
    <cellStyle name="백분율" xfId="3" builtinId="5"/>
    <cellStyle name="쉼표 [0]" xfId="1" builtinId="6"/>
    <cellStyle name="통화 [0]" xfId="2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0</xdr:colOff>
      <xdr:row>6</xdr:row>
      <xdr:rowOff>135877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5C312935-2D0F-4FDB-8C5E-3B3730BB7D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172200" cy="1421752"/>
        </a:xfrm>
        <a:prstGeom prst="rect">
          <a:avLst/>
        </a:prstGeom>
        <a:solidFill>
          <a:srgbClr val="FFFFFF"/>
        </a:solidFill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11</xdr:col>
      <xdr:colOff>95920</xdr:colOff>
      <xdr:row>6</xdr:row>
      <xdr:rowOff>0</xdr:rowOff>
    </xdr:to>
    <xdr:pic>
      <xdr:nvPicPr>
        <xdr:cNvPr id="2" name="Picture 14">
          <a:extLst>
            <a:ext uri="{FF2B5EF4-FFF2-40B4-BE49-F238E27FC236}">
              <a16:creationId xmlns:a16="http://schemas.microsoft.com/office/drawing/2014/main" id="{E4A510F6-E2F3-44EB-A579-0FA9355B91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57413" y="0"/>
          <a:ext cx="5582320" cy="1285875"/>
        </a:xfrm>
        <a:prstGeom prst="rect">
          <a:avLst/>
        </a:prstGeom>
        <a:solidFill>
          <a:srgbClr val="FFFFFF"/>
        </a:solidFill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11</xdr:row>
      <xdr:rowOff>0</xdr:rowOff>
    </xdr:from>
    <xdr:to>
      <xdr:col>7</xdr:col>
      <xdr:colOff>457200</xdr:colOff>
      <xdr:row>17</xdr:row>
      <xdr:rowOff>44824</xdr:rowOff>
    </xdr:to>
    <xdr:pic>
      <xdr:nvPicPr>
        <xdr:cNvPr id="2" name="Picture 12">
          <a:extLst>
            <a:ext uri="{FF2B5EF4-FFF2-40B4-BE49-F238E27FC236}">
              <a16:creationId xmlns:a16="http://schemas.microsoft.com/office/drawing/2014/main" id="{C7346F59-842A-4C75-987C-CE85811A62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05063"/>
          <a:ext cx="5776913" cy="1330699"/>
        </a:xfrm>
        <a:prstGeom prst="rect">
          <a:avLst/>
        </a:prstGeom>
        <a:solidFill>
          <a:srgbClr val="FFFFFF"/>
        </a:solidFill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BC08B-1AB3-4204-992D-63D0B9739AA4}">
  <dimension ref="A8:K20"/>
  <sheetViews>
    <sheetView workbookViewId="0">
      <selection activeCell="E12" sqref="E12"/>
    </sheetView>
  </sheetViews>
  <sheetFormatPr defaultRowHeight="16.899999999999999" x14ac:dyDescent="0.6"/>
  <sheetData>
    <row r="8" spans="1:11" x14ac:dyDescent="0.6">
      <c r="A8" s="9" t="s">
        <v>0</v>
      </c>
      <c r="B8" s="9"/>
    </row>
    <row r="10" spans="1:11" x14ac:dyDescent="0.6">
      <c r="A10" s="2" t="s">
        <v>1</v>
      </c>
      <c r="B10" s="3">
        <v>15000</v>
      </c>
    </row>
    <row r="11" spans="1:11" x14ac:dyDescent="0.6">
      <c r="A11" s="2" t="s">
        <v>2</v>
      </c>
      <c r="B11" s="2">
        <v>6</v>
      </c>
      <c r="F11" s="10" t="s">
        <v>2</v>
      </c>
      <c r="G11" s="10"/>
      <c r="H11" s="10"/>
      <c r="I11" s="10"/>
      <c r="J11" s="10"/>
      <c r="K11" s="10"/>
    </row>
    <row r="12" spans="1:11" x14ac:dyDescent="0.6">
      <c r="A12" s="2" t="s">
        <v>3</v>
      </c>
      <c r="B12" s="5">
        <v>2.5000000000000001E-2</v>
      </c>
      <c r="E12" s="6"/>
      <c r="F12" s="7">
        <v>5</v>
      </c>
      <c r="G12" s="7">
        <v>6</v>
      </c>
      <c r="H12" s="7">
        <v>7</v>
      </c>
      <c r="I12" s="7">
        <v>8</v>
      </c>
      <c r="J12" s="7">
        <v>9</v>
      </c>
      <c r="K12" s="7">
        <v>10</v>
      </c>
    </row>
    <row r="13" spans="1:11" x14ac:dyDescent="0.6">
      <c r="A13" s="2" t="s">
        <v>4</v>
      </c>
      <c r="B13" s="3">
        <f>B10*B11*(1-B12)</f>
        <v>87750</v>
      </c>
      <c r="D13" s="11" t="s">
        <v>3</v>
      </c>
      <c r="E13" s="8">
        <v>5.0000000000000001E-3</v>
      </c>
      <c r="F13" s="3"/>
      <c r="G13" s="3"/>
      <c r="H13" s="3"/>
      <c r="I13" s="3"/>
      <c r="J13" s="3"/>
      <c r="K13" s="3"/>
    </row>
    <row r="14" spans="1:11" x14ac:dyDescent="0.6">
      <c r="D14" s="11"/>
      <c r="E14" s="8">
        <v>0.01</v>
      </c>
      <c r="F14" s="3"/>
      <c r="G14" s="3"/>
      <c r="H14" s="3"/>
      <c r="I14" s="3"/>
      <c r="J14" s="3"/>
      <c r="K14" s="3"/>
    </row>
    <row r="15" spans="1:11" x14ac:dyDescent="0.6">
      <c r="D15" s="11"/>
      <c r="E15" s="8">
        <v>1.4999999999999999E-2</v>
      </c>
      <c r="F15" s="3"/>
      <c r="G15" s="3"/>
      <c r="H15" s="3"/>
      <c r="I15" s="3"/>
      <c r="J15" s="3"/>
      <c r="K15" s="3"/>
    </row>
    <row r="16" spans="1:11" x14ac:dyDescent="0.6">
      <c r="D16" s="11"/>
      <c r="E16" s="8">
        <v>0.02</v>
      </c>
      <c r="F16" s="3"/>
      <c r="G16" s="3"/>
      <c r="H16" s="3"/>
      <c r="I16" s="3"/>
      <c r="J16" s="3"/>
      <c r="K16" s="3"/>
    </row>
    <row r="17" spans="4:11" x14ac:dyDescent="0.6">
      <c r="D17" s="11"/>
      <c r="E17" s="8">
        <v>2.5000000000000001E-2</v>
      </c>
      <c r="F17" s="3"/>
      <c r="G17" s="3"/>
      <c r="H17" s="3"/>
      <c r="I17" s="3"/>
      <c r="J17" s="3"/>
      <c r="K17" s="3"/>
    </row>
    <row r="18" spans="4:11" x14ac:dyDescent="0.6">
      <c r="D18" s="11"/>
      <c r="E18" s="8">
        <v>0.03</v>
      </c>
      <c r="F18" s="3"/>
      <c r="G18" s="3"/>
      <c r="H18" s="3"/>
      <c r="I18" s="3"/>
      <c r="J18" s="3"/>
      <c r="K18" s="3"/>
    </row>
    <row r="19" spans="4:11" x14ac:dyDescent="0.6">
      <c r="D19" s="11"/>
      <c r="E19" s="8">
        <v>3.5000000000000003E-2</v>
      </c>
      <c r="F19" s="3"/>
      <c r="G19" s="3"/>
      <c r="H19" s="3"/>
      <c r="I19" s="3"/>
      <c r="J19" s="3"/>
      <c r="K19" s="3"/>
    </row>
    <row r="20" spans="4:11" x14ac:dyDescent="0.6">
      <c r="D20" s="11"/>
      <c r="E20" s="8">
        <v>0.04</v>
      </c>
      <c r="F20" s="3"/>
      <c r="G20" s="3"/>
      <c r="H20" s="3"/>
      <c r="I20" s="3"/>
      <c r="J20" s="3"/>
      <c r="K20" s="3"/>
    </row>
  </sheetData>
  <mergeCells count="3">
    <mergeCell ref="A8:B8"/>
    <mergeCell ref="F11:K11"/>
    <mergeCell ref="D13:D20"/>
  </mergeCells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8B215-BC26-41B2-A8BA-1FB08DF80D64}">
  <dimension ref="A1:I16"/>
  <sheetViews>
    <sheetView workbookViewId="0">
      <selection activeCell="C9" sqref="C9"/>
    </sheetView>
  </sheetViews>
  <sheetFormatPr defaultRowHeight="16.899999999999999" x14ac:dyDescent="0.6"/>
  <cols>
    <col min="2" max="2" width="10.3125" bestFit="1" customWidth="1"/>
  </cols>
  <sheetData>
    <row r="1" spans="1:9" x14ac:dyDescent="0.6">
      <c r="A1" t="s">
        <v>11</v>
      </c>
    </row>
    <row r="2" spans="1:9" x14ac:dyDescent="0.6">
      <c r="A2" s="2" t="s">
        <v>12</v>
      </c>
      <c r="B2" s="3">
        <v>10000</v>
      </c>
    </row>
    <row r="3" spans="1:9" x14ac:dyDescent="0.6">
      <c r="A3" s="2" t="s">
        <v>13</v>
      </c>
      <c r="B3" s="17">
        <v>0.375</v>
      </c>
    </row>
    <row r="4" spans="1:9" x14ac:dyDescent="0.6">
      <c r="A4" s="2" t="s">
        <v>14</v>
      </c>
      <c r="B4" s="17">
        <v>0.75</v>
      </c>
    </row>
    <row r="5" spans="1:9" x14ac:dyDescent="0.6">
      <c r="A5" s="2" t="s">
        <v>15</v>
      </c>
      <c r="B5" s="2">
        <v>20</v>
      </c>
    </row>
    <row r="6" spans="1:9" x14ac:dyDescent="0.6">
      <c r="A6" s="2" t="s">
        <v>16</v>
      </c>
      <c r="B6" s="3">
        <f>B2*HOUR(B4-B3)*B5</f>
        <v>1800000</v>
      </c>
    </row>
    <row r="7" spans="1:9" x14ac:dyDescent="0.6">
      <c r="B7" s="18"/>
    </row>
    <row r="8" spans="1:9" x14ac:dyDescent="0.6">
      <c r="C8" t="s">
        <v>17</v>
      </c>
      <c r="D8" s="19" t="s">
        <v>12</v>
      </c>
    </row>
    <row r="9" spans="1:9" x14ac:dyDescent="0.6">
      <c r="C9" s="20"/>
      <c r="D9" s="21">
        <v>10000</v>
      </c>
      <c r="E9" s="21">
        <v>11000</v>
      </c>
      <c r="F9" s="21">
        <v>12000</v>
      </c>
      <c r="G9" s="21">
        <v>13000</v>
      </c>
      <c r="H9" s="21">
        <v>14000</v>
      </c>
      <c r="I9" s="21">
        <v>15000</v>
      </c>
    </row>
    <row r="10" spans="1:9" x14ac:dyDescent="0.6">
      <c r="B10" s="19" t="s">
        <v>15</v>
      </c>
      <c r="C10" s="7">
        <v>20</v>
      </c>
      <c r="D10" s="3"/>
      <c r="E10" s="3"/>
      <c r="F10" s="3"/>
      <c r="G10" s="3"/>
      <c r="H10" s="3"/>
      <c r="I10" s="3"/>
    </row>
    <row r="11" spans="1:9" x14ac:dyDescent="0.6">
      <c r="C11" s="7">
        <v>25</v>
      </c>
      <c r="D11" s="3"/>
      <c r="E11" s="3"/>
      <c r="F11" s="3"/>
      <c r="G11" s="3"/>
      <c r="H11" s="3"/>
      <c r="I11" s="3"/>
    </row>
    <row r="12" spans="1:9" x14ac:dyDescent="0.6">
      <c r="C12" s="7">
        <v>30</v>
      </c>
      <c r="D12" s="3"/>
      <c r="E12" s="3"/>
      <c r="F12" s="3"/>
      <c r="G12" s="3"/>
      <c r="H12" s="3"/>
      <c r="I12" s="3"/>
    </row>
    <row r="13" spans="1:9" x14ac:dyDescent="0.6">
      <c r="C13" s="7">
        <v>35</v>
      </c>
      <c r="D13" s="3"/>
      <c r="E13" s="3"/>
      <c r="F13" s="3"/>
      <c r="G13" s="3"/>
      <c r="H13" s="3"/>
      <c r="I13" s="3"/>
    </row>
    <row r="14" spans="1:9" x14ac:dyDescent="0.6">
      <c r="C14" s="7">
        <v>40</v>
      </c>
      <c r="D14" s="3"/>
      <c r="E14" s="3"/>
      <c r="F14" s="3"/>
      <c r="G14" s="3"/>
      <c r="H14" s="3"/>
      <c r="I14" s="3"/>
    </row>
    <row r="15" spans="1:9" x14ac:dyDescent="0.6">
      <c r="C15" s="7">
        <v>45</v>
      </c>
      <c r="D15" s="3"/>
      <c r="E15" s="3"/>
      <c r="F15" s="3"/>
      <c r="G15" s="3"/>
      <c r="H15" s="3"/>
      <c r="I15" s="3"/>
    </row>
    <row r="16" spans="1:9" x14ac:dyDescent="0.6">
      <c r="C16" s="7">
        <v>50</v>
      </c>
      <c r="D16" s="3"/>
      <c r="E16" s="3"/>
      <c r="F16" s="3"/>
      <c r="G16" s="3"/>
      <c r="H16" s="3"/>
      <c r="I16" s="3"/>
    </row>
  </sheetData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E9E23-8734-4EDA-957C-6CD92731299B}">
  <dimension ref="A1:E10"/>
  <sheetViews>
    <sheetView tabSelected="1" workbookViewId="0">
      <selection activeCell="E3" sqref="E3"/>
    </sheetView>
  </sheetViews>
  <sheetFormatPr defaultRowHeight="16.899999999999999" x14ac:dyDescent="0.6"/>
  <cols>
    <col min="1" max="1" width="12" bestFit="1" customWidth="1"/>
    <col min="2" max="2" width="12.8125" bestFit="1" customWidth="1"/>
  </cols>
  <sheetData>
    <row r="1" spans="1:5" ht="20.65" x14ac:dyDescent="0.6">
      <c r="A1" s="12" t="s">
        <v>5</v>
      </c>
      <c r="B1" s="12"/>
    </row>
    <row r="2" spans="1:5" x14ac:dyDescent="0.6">
      <c r="A2" s="2" t="s">
        <v>6</v>
      </c>
      <c r="B2" s="13">
        <v>40000000</v>
      </c>
      <c r="D2" s="1"/>
      <c r="E2" s="4" t="s">
        <v>7</v>
      </c>
    </row>
    <row r="3" spans="1:5" x14ac:dyDescent="0.6">
      <c r="A3" s="2" t="s">
        <v>7</v>
      </c>
      <c r="B3" s="13">
        <f>PMT(B4/12,B5*12,,-B2)</f>
        <v>804317.87643979234</v>
      </c>
      <c r="D3" s="4" t="s">
        <v>8</v>
      </c>
      <c r="E3" s="13"/>
    </row>
    <row r="4" spans="1:5" x14ac:dyDescent="0.6">
      <c r="A4" s="2" t="s">
        <v>9</v>
      </c>
      <c r="B4" s="14">
        <v>1.7999999999999999E-2</v>
      </c>
      <c r="D4" s="15">
        <v>1</v>
      </c>
      <c r="E4" s="13"/>
    </row>
    <row r="5" spans="1:5" x14ac:dyDescent="0.6">
      <c r="A5" s="2" t="s">
        <v>10</v>
      </c>
      <c r="B5" s="16">
        <v>4</v>
      </c>
      <c r="D5" s="15">
        <v>2</v>
      </c>
      <c r="E5" s="13"/>
    </row>
    <row r="6" spans="1:5" x14ac:dyDescent="0.6">
      <c r="D6" s="15">
        <v>3</v>
      </c>
      <c r="E6" s="13"/>
    </row>
    <row r="7" spans="1:5" x14ac:dyDescent="0.6">
      <c r="D7" s="15">
        <v>4</v>
      </c>
      <c r="E7" s="13"/>
    </row>
    <row r="8" spans="1:5" x14ac:dyDescent="0.6">
      <c r="D8" s="15">
        <v>5</v>
      </c>
      <c r="E8" s="13"/>
    </row>
    <row r="9" spans="1:5" x14ac:dyDescent="0.6">
      <c r="D9" s="15">
        <v>6</v>
      </c>
      <c r="E9" s="13"/>
    </row>
    <row r="10" spans="1:5" x14ac:dyDescent="0.6">
      <c r="D10" s="15">
        <v>7.0000000000000009</v>
      </c>
      <c r="E10" s="13"/>
    </row>
  </sheetData>
  <mergeCells count="1">
    <mergeCell ref="A1:B1"/>
  </mergeCells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코딩 정석</dc:creator>
  <cp:lastModifiedBy>코딩 정석</cp:lastModifiedBy>
  <dcterms:created xsi:type="dcterms:W3CDTF">2025-11-27T06:22:33Z</dcterms:created>
  <dcterms:modified xsi:type="dcterms:W3CDTF">2025-11-27T07:28:22Z</dcterms:modified>
</cp:coreProperties>
</file>