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기본작업\"/>
    </mc:Choice>
  </mc:AlternateContent>
  <xr:revisionPtr revIDLastSave="0" documentId="13_ncr:1_{165C6AA1-DC8D-4851-90AB-AD9077AD04ED}" xr6:coauthVersionLast="47" xr6:coauthVersionMax="47" xr10:uidLastSave="{00000000-0000-0000-0000-000000000000}"/>
  <bookViews>
    <workbookView xWindow="-98" yWindow="-98" windowWidth="21795" windowHeight="12975" activeTab="1" xr2:uid="{BA08AE91-0BB5-4554-AAF0-240A15E649E5}"/>
  </bookViews>
  <sheets>
    <sheet name="Sheet1" sheetId="6" r:id="rId1"/>
    <sheet name="Sheet2" sheetId="4" r:id="rId2"/>
    <sheet name="Sheet3" sheetId="3" r:id="rId3"/>
    <sheet name="Sheet4" sheetId="5" r:id="rId4"/>
    <sheet name="Sheet5" sheetId="1" r:id="rId5"/>
    <sheet name="Sheet6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" i="5" l="1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</calcChain>
</file>

<file path=xl/sharedStrings.xml><?xml version="1.0" encoding="utf-8"?>
<sst xmlns="http://schemas.openxmlformats.org/spreadsheetml/2006/main" count="185" uniqueCount="110">
  <si>
    <t>번호</t>
    <phoneticPr fontId="2" type="noConversion"/>
  </si>
  <si>
    <t>팀</t>
  </si>
  <si>
    <r>
      <t>2021</t>
    </r>
    <r>
      <rPr>
        <sz val="11"/>
        <rFont val="돋움"/>
        <family val="3"/>
        <charset val="129"/>
      </rPr>
      <t>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승률</t>
    </r>
    <phoneticPr fontId="2" type="noConversion"/>
  </si>
  <si>
    <r>
      <t>2022</t>
    </r>
    <r>
      <rPr>
        <sz val="11"/>
        <rFont val="돋움"/>
        <family val="3"/>
        <charset val="129"/>
      </rPr>
      <t>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승률</t>
    </r>
    <phoneticPr fontId="2" type="noConversion"/>
  </si>
  <si>
    <t>KIA</t>
  </si>
  <si>
    <t>KT</t>
  </si>
  <si>
    <t>LG</t>
  </si>
  <si>
    <t>NC</t>
  </si>
  <si>
    <t>SSG</t>
  </si>
  <si>
    <t>두산</t>
  </si>
  <si>
    <t>롯데</t>
  </si>
  <si>
    <t>삼성</t>
  </si>
  <si>
    <t>키움</t>
  </si>
  <si>
    <t>한화</t>
  </si>
  <si>
    <t>사번</t>
    <phoneticPr fontId="2" type="noConversion"/>
  </si>
  <si>
    <t>성명</t>
    <phoneticPr fontId="2" type="noConversion"/>
  </si>
  <si>
    <t>부서</t>
    <phoneticPr fontId="2" type="noConversion"/>
  </si>
  <si>
    <t>입사일자</t>
    <phoneticPr fontId="2" type="noConversion"/>
  </si>
  <si>
    <t>실적</t>
    <phoneticPr fontId="2" type="noConversion"/>
  </si>
  <si>
    <t>김석환</t>
    <phoneticPr fontId="2" type="noConversion"/>
  </si>
  <si>
    <t>식품부</t>
    <phoneticPr fontId="2" type="noConversion"/>
  </si>
  <si>
    <t>신은희</t>
    <phoneticPr fontId="2" type="noConversion"/>
  </si>
  <si>
    <t>안명숙</t>
    <phoneticPr fontId="2" type="noConversion"/>
  </si>
  <si>
    <t>이순복</t>
    <phoneticPr fontId="2" type="noConversion"/>
  </si>
  <si>
    <t>조영관</t>
    <phoneticPr fontId="2" type="noConversion"/>
  </si>
  <si>
    <t>가전부</t>
    <phoneticPr fontId="2" type="noConversion"/>
  </si>
  <si>
    <t>장현진</t>
    <phoneticPr fontId="2" type="noConversion"/>
  </si>
  <si>
    <t>전희자</t>
    <phoneticPr fontId="2" type="noConversion"/>
  </si>
  <si>
    <t>홍재근</t>
    <phoneticPr fontId="2" type="noConversion"/>
  </si>
  <si>
    <t>김동철</t>
    <phoneticPr fontId="2" type="noConversion"/>
  </si>
  <si>
    <t>학번</t>
    <phoneticPr fontId="2" type="noConversion"/>
  </si>
  <si>
    <t>이름</t>
    <phoneticPr fontId="2" type="noConversion"/>
  </si>
  <si>
    <t>중간</t>
    <phoneticPr fontId="2" type="noConversion"/>
  </si>
  <si>
    <t>기말</t>
    <phoneticPr fontId="2" type="noConversion"/>
  </si>
  <si>
    <t>과제</t>
    <phoneticPr fontId="2" type="noConversion"/>
  </si>
  <si>
    <t>출석</t>
    <phoneticPr fontId="2" type="noConversion"/>
  </si>
  <si>
    <t>합계</t>
    <phoneticPr fontId="2" type="noConversion"/>
  </si>
  <si>
    <t>유일한</t>
    <phoneticPr fontId="2" type="noConversion"/>
  </si>
  <si>
    <t>신영현</t>
    <phoneticPr fontId="2" type="noConversion"/>
  </si>
  <si>
    <t>김서하</t>
    <phoneticPr fontId="2" type="noConversion"/>
  </si>
  <si>
    <t>한지혜</t>
    <phoneticPr fontId="2" type="noConversion"/>
  </si>
  <si>
    <t>최현진</t>
    <phoneticPr fontId="2" type="noConversion"/>
  </si>
  <si>
    <t>김명철</t>
    <phoneticPr fontId="2" type="noConversion"/>
  </si>
  <si>
    <t>김상순</t>
    <phoneticPr fontId="2" type="noConversion"/>
  </si>
  <si>
    <t>이의리</t>
    <phoneticPr fontId="2" type="noConversion"/>
  </si>
  <si>
    <t>조규성</t>
    <phoneticPr fontId="2" type="noConversion"/>
  </si>
  <si>
    <t>조성은</t>
    <phoneticPr fontId="2" type="noConversion"/>
  </si>
  <si>
    <t>황중희</t>
    <phoneticPr fontId="2" type="noConversion"/>
  </si>
  <si>
    <t>김예소</t>
    <phoneticPr fontId="2" type="noConversion"/>
  </si>
  <si>
    <t>송중기</t>
    <phoneticPr fontId="2" type="noConversion"/>
  </si>
  <si>
    <t>신혜선</t>
    <phoneticPr fontId="2" type="noConversion"/>
  </si>
  <si>
    <t>고객코드</t>
    <phoneticPr fontId="2" type="noConversion"/>
  </si>
  <si>
    <t>대출일</t>
    <phoneticPr fontId="2" type="noConversion"/>
  </si>
  <si>
    <t>대출종류</t>
    <phoneticPr fontId="2" type="noConversion"/>
  </si>
  <si>
    <t>대출금액</t>
    <phoneticPr fontId="2" type="noConversion"/>
  </si>
  <si>
    <t>금리종류</t>
    <phoneticPr fontId="2" type="noConversion"/>
  </si>
  <si>
    <t>기간(월)</t>
    <phoneticPr fontId="2" type="noConversion"/>
  </si>
  <si>
    <t>ksw-0725</t>
    <phoneticPr fontId="2" type="noConversion"/>
  </si>
  <si>
    <t>주택담보대출</t>
    <phoneticPr fontId="2" type="noConversion"/>
  </si>
  <si>
    <t>변동</t>
    <phoneticPr fontId="2" type="noConversion"/>
  </si>
  <si>
    <t>lsh-0817</t>
    <phoneticPr fontId="2" type="noConversion"/>
  </si>
  <si>
    <t>신용대출</t>
    <phoneticPr fontId="2" type="noConversion"/>
  </si>
  <si>
    <t>hys-0823</t>
    <phoneticPr fontId="2" type="noConversion"/>
  </si>
  <si>
    <t>고정</t>
    <phoneticPr fontId="2" type="noConversion"/>
  </si>
  <si>
    <t>khs-1009</t>
    <phoneticPr fontId="2" type="noConversion"/>
  </si>
  <si>
    <t>전세대출</t>
    <phoneticPr fontId="2" type="noConversion"/>
  </si>
  <si>
    <t>ses-0414</t>
    <phoneticPr fontId="2" type="noConversion"/>
  </si>
  <si>
    <t>mod-1206</t>
    <phoneticPr fontId="2" type="noConversion"/>
  </si>
  <si>
    <t>ljm-0325</t>
    <phoneticPr fontId="2" type="noConversion"/>
  </si>
  <si>
    <t>gub-1117</t>
    <phoneticPr fontId="2" type="noConversion"/>
  </si>
  <si>
    <t>jdc-0820</t>
    <phoneticPr fontId="2" type="noConversion"/>
  </si>
  <si>
    <t>kji-0621</t>
    <phoneticPr fontId="2" type="noConversion"/>
  </si>
  <si>
    <t>cmk-1201</t>
    <phoneticPr fontId="2" type="noConversion"/>
  </si>
  <si>
    <t>jal-0808</t>
    <phoneticPr fontId="2" type="noConversion"/>
  </si>
  <si>
    <t>성별</t>
    <phoneticPr fontId="2" type="noConversion"/>
  </si>
  <si>
    <t>필기</t>
    <phoneticPr fontId="2" type="noConversion"/>
  </si>
  <si>
    <t>실기</t>
    <phoneticPr fontId="2" type="noConversion"/>
  </si>
  <si>
    <t>평균</t>
    <phoneticPr fontId="2" type="noConversion"/>
  </si>
  <si>
    <t>결과</t>
    <phoneticPr fontId="2" type="noConversion"/>
  </si>
  <si>
    <t>김수연</t>
    <phoneticPr fontId="2" type="noConversion"/>
  </si>
  <si>
    <t>여</t>
    <phoneticPr fontId="2" type="noConversion"/>
  </si>
  <si>
    <t>이진석</t>
    <phoneticPr fontId="7" type="noConversion"/>
  </si>
  <si>
    <t>남</t>
    <phoneticPr fontId="2" type="noConversion"/>
  </si>
  <si>
    <t>이재원</t>
    <phoneticPr fontId="7" type="noConversion"/>
  </si>
  <si>
    <t>장선경</t>
    <phoneticPr fontId="7" type="noConversion"/>
  </si>
  <si>
    <t>황현정</t>
    <phoneticPr fontId="7" type="noConversion"/>
  </si>
  <si>
    <t>최선희</t>
    <phoneticPr fontId="7" type="noConversion"/>
  </si>
  <si>
    <t>강승희</t>
    <phoneticPr fontId="7" type="noConversion"/>
  </si>
  <si>
    <t>이명희</t>
    <phoneticPr fontId="7" type="noConversion"/>
  </si>
  <si>
    <t>박정아</t>
    <phoneticPr fontId="7" type="noConversion"/>
  </si>
  <si>
    <t>한정범</t>
    <phoneticPr fontId="2" type="noConversion"/>
  </si>
  <si>
    <t>금리</t>
    <phoneticPr fontId="2" type="noConversion"/>
  </si>
  <si>
    <t>우대</t>
    <phoneticPr fontId="2" type="noConversion"/>
  </si>
  <si>
    <t>TS65-023</t>
  </si>
  <si>
    <t>청년대출</t>
    <phoneticPr fontId="2" type="noConversion"/>
  </si>
  <si>
    <t>TS04-652</t>
  </si>
  <si>
    <t>버팀목대출</t>
    <phoneticPr fontId="2" type="noConversion"/>
  </si>
  <si>
    <t>일반</t>
    <phoneticPr fontId="2" type="noConversion"/>
  </si>
  <si>
    <t>TS11-002</t>
  </si>
  <si>
    <t>신혼부부대출</t>
    <phoneticPr fontId="2" type="noConversion"/>
  </si>
  <si>
    <t>TS10-021</t>
  </si>
  <si>
    <t>TS09-655</t>
  </si>
  <si>
    <t>TS13-007</t>
  </si>
  <si>
    <t>TS06-659</t>
  </si>
  <si>
    <t>TS08-004</t>
  </si>
  <si>
    <t>TS12-031</t>
  </si>
  <si>
    <t>TS12-652</t>
  </si>
  <si>
    <t>TS13-003</t>
  </si>
  <si>
    <t>TS09-065</t>
  </si>
  <si>
    <t>TS12-982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</si>
</sst>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mm&quot;월&quot;\ dd&quot;일&quot;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3" fillId="0" borderId="1" xfId="2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4" xfId="3" xr:uid="{67E9DCAC-6C78-40DC-A504-7472CC12F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226250</xdr:colOff>
      <xdr:row>7</xdr:row>
      <xdr:rowOff>157607</xdr:rowOff>
    </xdr:to>
    <xdr:pic>
      <xdr:nvPicPr>
        <xdr:cNvPr id="2" name="Picture 35">
          <a:extLst>
            <a:ext uri="{FF2B5EF4-FFF2-40B4-BE49-F238E27FC236}">
              <a16:creationId xmlns:a16="http://schemas.microsoft.com/office/drawing/2014/main" id="{321BC1F2-1FDC-43E0-8B04-CC0BF61DD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3"/>
          <a:ext cx="7489063" cy="144348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548068</xdr:colOff>
      <xdr:row>6</xdr:row>
      <xdr:rowOff>143320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73A387-6D6C-4154-A939-289AA0A24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3"/>
          <a:ext cx="7325106" cy="121488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631063</xdr:colOff>
      <xdr:row>7</xdr:row>
      <xdr:rowOff>157607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7BC6B24C-B64C-479F-A478-EAF78D121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3"/>
          <a:ext cx="7489063" cy="144348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631063</xdr:colOff>
      <xdr:row>7</xdr:row>
      <xdr:rowOff>157607</xdr:rowOff>
    </xdr:to>
    <xdr:pic>
      <xdr:nvPicPr>
        <xdr:cNvPr id="8" name="Picture 33">
          <a:extLst>
            <a:ext uri="{FF2B5EF4-FFF2-40B4-BE49-F238E27FC236}">
              <a16:creationId xmlns:a16="http://schemas.microsoft.com/office/drawing/2014/main" id="{534213E2-6CCA-46C0-9FBE-7701AF30E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3"/>
          <a:ext cx="7489063" cy="144348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214312</xdr:rowOff>
    </xdr:from>
    <xdr:to>
      <xdr:col>11</xdr:col>
      <xdr:colOff>0</xdr:colOff>
      <xdr:row>7</xdr:row>
      <xdr:rowOff>164485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07FD3572-48AA-4EAE-B378-7BBAE3658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2"/>
          <a:ext cx="7524750" cy="1450361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411988</xdr:colOff>
      <xdr:row>7</xdr:row>
      <xdr:rowOff>157607</xdr:rowOff>
    </xdr:to>
    <xdr:pic>
      <xdr:nvPicPr>
        <xdr:cNvPr id="4" name="Picture 17">
          <a:extLst>
            <a:ext uri="{FF2B5EF4-FFF2-40B4-BE49-F238E27FC236}">
              <a16:creationId xmlns:a16="http://schemas.microsoft.com/office/drawing/2014/main" id="{C0F58C26-10C7-435C-A8B6-63F7AC260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3"/>
          <a:ext cx="7489063" cy="1443482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9506-B66F-4D70-BD4A-D4762221A46D}">
  <dimension ref="B10:H23"/>
  <sheetViews>
    <sheetView workbookViewId="0">
      <selection activeCell="H23" sqref="H23"/>
    </sheetView>
  </sheetViews>
  <sheetFormatPr defaultRowHeight="16.899999999999999"/>
  <cols>
    <col min="4" max="4" width="12" bestFit="1" customWidth="1"/>
    <col min="7" max="7" width="11.3125" bestFit="1" customWidth="1"/>
  </cols>
  <sheetData>
    <row r="10" spans="2:8">
      <c r="B10" s="1" t="s">
        <v>51</v>
      </c>
      <c r="C10" s="1" t="s">
        <v>52</v>
      </c>
      <c r="D10" s="1" t="s">
        <v>53</v>
      </c>
      <c r="E10" s="1" t="s">
        <v>91</v>
      </c>
      <c r="F10" s="1" t="s">
        <v>92</v>
      </c>
      <c r="G10" s="1" t="s">
        <v>54</v>
      </c>
      <c r="H10" s="1" t="s">
        <v>56</v>
      </c>
    </row>
    <row r="11" spans="2:8">
      <c r="B11" s="1" t="s">
        <v>93</v>
      </c>
      <c r="C11" s="11">
        <v>45298</v>
      </c>
      <c r="D11" s="1" t="s">
        <v>94</v>
      </c>
      <c r="E11" s="1" t="s">
        <v>59</v>
      </c>
      <c r="F11" s="1" t="s">
        <v>92</v>
      </c>
      <c r="G11" s="7">
        <v>22500000</v>
      </c>
      <c r="H11" s="1">
        <v>36</v>
      </c>
    </row>
    <row r="12" spans="2:8">
      <c r="B12" s="1" t="s">
        <v>95</v>
      </c>
      <c r="C12" s="11">
        <v>45316</v>
      </c>
      <c r="D12" s="1" t="s">
        <v>96</v>
      </c>
      <c r="E12" s="1" t="s">
        <v>63</v>
      </c>
      <c r="F12" s="1" t="s">
        <v>97</v>
      </c>
      <c r="G12" s="7">
        <v>15000000</v>
      </c>
      <c r="H12" s="1">
        <v>48</v>
      </c>
    </row>
    <row r="13" spans="2:8">
      <c r="B13" s="1" t="s">
        <v>98</v>
      </c>
      <c r="C13" s="11">
        <v>45322</v>
      </c>
      <c r="D13" s="1" t="s">
        <v>99</v>
      </c>
      <c r="E13" s="1" t="s">
        <v>59</v>
      </c>
      <c r="F13" s="1" t="s">
        <v>92</v>
      </c>
      <c r="G13" s="7">
        <v>12000000</v>
      </c>
      <c r="H13" s="1">
        <v>50</v>
      </c>
    </row>
    <row r="14" spans="2:8">
      <c r="B14" s="1" t="s">
        <v>100</v>
      </c>
      <c r="C14" s="11">
        <v>45324</v>
      </c>
      <c r="D14" s="1" t="s">
        <v>65</v>
      </c>
      <c r="E14" s="1" t="s">
        <v>63</v>
      </c>
      <c r="F14" s="1" t="s">
        <v>92</v>
      </c>
      <c r="G14" s="7">
        <v>9750000</v>
      </c>
      <c r="H14" s="1">
        <v>72</v>
      </c>
    </row>
    <row r="15" spans="2:8">
      <c r="B15" s="1" t="s">
        <v>101</v>
      </c>
      <c r="C15" s="11">
        <v>45327</v>
      </c>
      <c r="D15" s="1" t="s">
        <v>58</v>
      </c>
      <c r="E15" s="1" t="s">
        <v>59</v>
      </c>
      <c r="F15" s="1" t="s">
        <v>97</v>
      </c>
      <c r="G15" s="7">
        <v>36000000</v>
      </c>
      <c r="H15" s="1">
        <v>80</v>
      </c>
    </row>
    <row r="16" spans="2:8">
      <c r="B16" s="1" t="s">
        <v>102</v>
      </c>
      <c r="C16" s="11">
        <v>45330</v>
      </c>
      <c r="D16" s="1" t="s">
        <v>94</v>
      </c>
      <c r="E16" s="1" t="s">
        <v>63</v>
      </c>
      <c r="F16" s="1" t="s">
        <v>92</v>
      </c>
      <c r="G16" s="7">
        <v>14250000</v>
      </c>
      <c r="H16" s="1">
        <v>82</v>
      </c>
    </row>
    <row r="17" spans="2:8">
      <c r="B17" s="1" t="s">
        <v>103</v>
      </c>
      <c r="C17" s="11">
        <v>45344</v>
      </c>
      <c r="D17" s="1" t="s">
        <v>99</v>
      </c>
      <c r="E17" s="1" t="s">
        <v>63</v>
      </c>
      <c r="F17" s="1" t="s">
        <v>92</v>
      </c>
      <c r="G17" s="7">
        <v>30000000</v>
      </c>
      <c r="H17" s="1">
        <v>92</v>
      </c>
    </row>
    <row r="18" spans="2:8">
      <c r="B18" s="1" t="s">
        <v>104</v>
      </c>
      <c r="C18" s="11">
        <v>45349</v>
      </c>
      <c r="D18" s="1" t="s">
        <v>61</v>
      </c>
      <c r="E18" s="1" t="s">
        <v>59</v>
      </c>
      <c r="F18" s="1" t="s">
        <v>97</v>
      </c>
      <c r="G18" s="7">
        <v>27000000</v>
      </c>
      <c r="H18" s="1">
        <v>100</v>
      </c>
    </row>
    <row r="19" spans="2:8">
      <c r="B19" s="1" t="s">
        <v>105</v>
      </c>
      <c r="C19" s="11">
        <v>45353</v>
      </c>
      <c r="D19" s="1" t="s">
        <v>65</v>
      </c>
      <c r="E19" s="1" t="s">
        <v>59</v>
      </c>
      <c r="F19" s="1" t="s">
        <v>92</v>
      </c>
      <c r="G19" s="7">
        <v>11700000</v>
      </c>
      <c r="H19" s="1">
        <v>64</v>
      </c>
    </row>
    <row r="20" spans="2:8">
      <c r="B20" s="1" t="s">
        <v>106</v>
      </c>
      <c r="C20" s="11">
        <v>45358</v>
      </c>
      <c r="D20" s="1" t="s">
        <v>58</v>
      </c>
      <c r="E20" s="1" t="s">
        <v>59</v>
      </c>
      <c r="F20" s="1" t="s">
        <v>97</v>
      </c>
      <c r="G20" s="7">
        <v>18000000</v>
      </c>
      <c r="H20" s="1">
        <v>48</v>
      </c>
    </row>
    <row r="21" spans="2:8">
      <c r="B21" s="1" t="s">
        <v>107</v>
      </c>
      <c r="C21" s="11">
        <v>45367</v>
      </c>
      <c r="D21" s="1" t="s">
        <v>94</v>
      </c>
      <c r="E21" s="1" t="s">
        <v>63</v>
      </c>
      <c r="F21" s="1" t="s">
        <v>97</v>
      </c>
      <c r="G21" s="7">
        <v>13500000</v>
      </c>
      <c r="H21" s="1">
        <v>72</v>
      </c>
    </row>
    <row r="22" spans="2:8">
      <c r="B22" s="1" t="s">
        <v>108</v>
      </c>
      <c r="C22" s="11">
        <v>45372</v>
      </c>
      <c r="D22" s="1" t="s">
        <v>96</v>
      </c>
      <c r="E22" s="1" t="s">
        <v>59</v>
      </c>
      <c r="F22" s="1" t="s">
        <v>92</v>
      </c>
      <c r="G22" s="7">
        <v>12300000</v>
      </c>
      <c r="H22" s="1">
        <v>75</v>
      </c>
    </row>
    <row r="23" spans="2:8">
      <c r="B23" s="1" t="s">
        <v>109</v>
      </c>
      <c r="C23" s="11">
        <v>45378</v>
      </c>
      <c r="D23" s="1" t="s">
        <v>58</v>
      </c>
      <c r="E23" s="1" t="s">
        <v>63</v>
      </c>
      <c r="F23" s="1" t="s">
        <v>97</v>
      </c>
      <c r="G23" s="6">
        <v>5000000</v>
      </c>
      <c r="H23" s="1">
        <v>65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640D-47F4-4368-AD99-11C5437BF16C}">
  <dimension ref="B10:G22"/>
  <sheetViews>
    <sheetView tabSelected="1" workbookViewId="0">
      <selection activeCell="I21" sqref="I21"/>
    </sheetView>
  </sheetViews>
  <sheetFormatPr defaultRowHeight="16.899999999999999"/>
  <cols>
    <col min="3" max="3" width="10.5625" bestFit="1" customWidth="1"/>
    <col min="4" max="4" width="12" bestFit="1" customWidth="1"/>
    <col min="5" max="5" width="12.375" bestFit="1" customWidth="1"/>
  </cols>
  <sheetData>
    <row r="10" spans="2:7"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56</v>
      </c>
    </row>
    <row r="11" spans="2:7">
      <c r="B11" s="1" t="s">
        <v>57</v>
      </c>
      <c r="C11" s="5">
        <v>44930</v>
      </c>
      <c r="D11" s="1" t="s">
        <v>58</v>
      </c>
      <c r="E11" s="7">
        <v>150000000</v>
      </c>
      <c r="F11" s="1" t="s">
        <v>59</v>
      </c>
      <c r="G11" s="1">
        <v>72</v>
      </c>
    </row>
    <row r="12" spans="2:7">
      <c r="B12" s="1" t="s">
        <v>60</v>
      </c>
      <c r="C12" s="5">
        <v>44945</v>
      </c>
      <c r="D12" s="1" t="s">
        <v>61</v>
      </c>
      <c r="E12" s="7">
        <v>100000000</v>
      </c>
      <c r="F12" s="1" t="s">
        <v>59</v>
      </c>
      <c r="G12" s="1">
        <v>24</v>
      </c>
    </row>
    <row r="13" spans="2:7">
      <c r="B13" s="1" t="s">
        <v>62</v>
      </c>
      <c r="C13" s="5">
        <v>44964</v>
      </c>
      <c r="D13" s="1" t="s">
        <v>58</v>
      </c>
      <c r="E13" s="7">
        <v>80000000</v>
      </c>
      <c r="F13" s="1" t="s">
        <v>63</v>
      </c>
      <c r="G13" s="1">
        <v>120</v>
      </c>
    </row>
    <row r="14" spans="2:7">
      <c r="B14" s="1" t="s">
        <v>64</v>
      </c>
      <c r="C14" s="5">
        <v>44972</v>
      </c>
      <c r="D14" s="1" t="s">
        <v>65</v>
      </c>
      <c r="E14" s="7">
        <v>65000000</v>
      </c>
      <c r="F14" s="1" t="s">
        <v>63</v>
      </c>
      <c r="G14" s="1">
        <v>36</v>
      </c>
    </row>
    <row r="15" spans="2:7">
      <c r="B15" s="1" t="s">
        <v>66</v>
      </c>
      <c r="C15" s="5">
        <v>44979</v>
      </c>
      <c r="D15" s="1" t="s">
        <v>58</v>
      </c>
      <c r="E15" s="7">
        <v>240000000</v>
      </c>
      <c r="F15" s="1" t="s">
        <v>59</v>
      </c>
      <c r="G15" s="1">
        <v>96</v>
      </c>
    </row>
    <row r="16" spans="2:7">
      <c r="B16" s="1" t="s">
        <v>67</v>
      </c>
      <c r="C16" s="5">
        <v>44989</v>
      </c>
      <c r="D16" s="1" t="s">
        <v>58</v>
      </c>
      <c r="E16" s="7">
        <v>95000000</v>
      </c>
      <c r="F16" s="1" t="s">
        <v>63</v>
      </c>
      <c r="G16" s="1">
        <v>60</v>
      </c>
    </row>
    <row r="17" spans="2:7">
      <c r="B17" s="1" t="s">
        <v>68</v>
      </c>
      <c r="C17" s="5">
        <v>45004</v>
      </c>
      <c r="D17" s="1" t="s">
        <v>65</v>
      </c>
      <c r="E17" s="7">
        <v>200000000</v>
      </c>
      <c r="F17" s="1" t="s">
        <v>59</v>
      </c>
      <c r="G17" s="1">
        <v>36</v>
      </c>
    </row>
    <row r="18" spans="2:7">
      <c r="B18" s="1" t="s">
        <v>69</v>
      </c>
      <c r="C18" s="5">
        <v>45010</v>
      </c>
      <c r="D18" s="1" t="s">
        <v>61</v>
      </c>
      <c r="E18" s="7">
        <v>180000000</v>
      </c>
      <c r="F18" s="1" t="s">
        <v>63</v>
      </c>
      <c r="G18" s="1">
        <v>12</v>
      </c>
    </row>
    <row r="19" spans="2:7">
      <c r="B19" s="1" t="s">
        <v>70</v>
      </c>
      <c r="C19" s="5">
        <v>45021</v>
      </c>
      <c r="D19" s="1" t="s">
        <v>65</v>
      </c>
      <c r="E19" s="7">
        <v>78000000</v>
      </c>
      <c r="F19" s="1" t="s">
        <v>59</v>
      </c>
      <c r="G19" s="1">
        <v>24</v>
      </c>
    </row>
    <row r="20" spans="2:7">
      <c r="B20" s="1" t="s">
        <v>71</v>
      </c>
      <c r="C20" s="5">
        <v>45025</v>
      </c>
      <c r="D20" s="1" t="s">
        <v>58</v>
      </c>
      <c r="E20" s="7">
        <v>120000000</v>
      </c>
      <c r="F20" s="1" t="s">
        <v>59</v>
      </c>
      <c r="G20" s="1">
        <v>96</v>
      </c>
    </row>
    <row r="21" spans="2:7">
      <c r="B21" s="1" t="s">
        <v>72</v>
      </c>
      <c r="C21" s="5">
        <v>45030</v>
      </c>
      <c r="D21" s="1" t="s">
        <v>65</v>
      </c>
      <c r="E21" s="7">
        <v>90000000</v>
      </c>
      <c r="F21" s="1" t="s">
        <v>63</v>
      </c>
      <c r="G21" s="1">
        <v>24</v>
      </c>
    </row>
    <row r="22" spans="2:7">
      <c r="B22" s="1" t="s">
        <v>73</v>
      </c>
      <c r="C22" s="5">
        <v>45036</v>
      </c>
      <c r="D22" s="1" t="s">
        <v>58</v>
      </c>
      <c r="E22" s="7">
        <v>82000000</v>
      </c>
      <c r="F22" s="1" t="s">
        <v>59</v>
      </c>
      <c r="G22" s="1">
        <v>60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F29E-663B-4D25-A1EA-87A3E99A07BA}">
  <dimension ref="B10:H24"/>
  <sheetViews>
    <sheetView workbookViewId="0">
      <selection activeCell="H24" sqref="H24"/>
    </sheetView>
  </sheetViews>
  <sheetFormatPr defaultRowHeight="16.899999999999999"/>
  <sheetData>
    <row r="10" spans="2:8"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36</v>
      </c>
    </row>
    <row r="11" spans="2:8">
      <c r="B11" s="1">
        <v>2102463</v>
      </c>
      <c r="C11" s="1" t="s">
        <v>37</v>
      </c>
      <c r="D11" s="1">
        <v>32</v>
      </c>
      <c r="E11" s="1">
        <v>33</v>
      </c>
      <c r="F11" s="1">
        <v>16</v>
      </c>
      <c r="G11" s="1">
        <v>9</v>
      </c>
      <c r="H11" s="1">
        <f>SUM(D11:G11)</f>
        <v>90</v>
      </c>
    </row>
    <row r="12" spans="2:8">
      <c r="B12" s="1">
        <v>2105407</v>
      </c>
      <c r="C12" s="1" t="s">
        <v>38</v>
      </c>
      <c r="D12" s="1">
        <v>30</v>
      </c>
      <c r="E12" s="1">
        <v>28</v>
      </c>
      <c r="F12" s="1">
        <v>13</v>
      </c>
      <c r="G12" s="1">
        <v>10</v>
      </c>
      <c r="H12" s="1">
        <f t="shared" ref="H12:H24" si="0">SUM(D12:G12)</f>
        <v>81</v>
      </c>
    </row>
    <row r="13" spans="2:8">
      <c r="B13" s="1">
        <v>2103159</v>
      </c>
      <c r="C13" s="1" t="s">
        <v>39</v>
      </c>
      <c r="D13" s="1">
        <v>27</v>
      </c>
      <c r="E13" s="1">
        <v>26</v>
      </c>
      <c r="F13" s="1">
        <v>15</v>
      </c>
      <c r="G13" s="1">
        <v>8</v>
      </c>
      <c r="H13" s="1">
        <f t="shared" si="0"/>
        <v>76</v>
      </c>
    </row>
    <row r="14" spans="2:8">
      <c r="B14" s="1">
        <v>2102058</v>
      </c>
      <c r="C14" s="1" t="s">
        <v>40</v>
      </c>
      <c r="D14" s="1">
        <v>32</v>
      </c>
      <c r="E14" s="1">
        <v>35</v>
      </c>
      <c r="F14" s="1">
        <v>18</v>
      </c>
      <c r="G14" s="1">
        <v>10</v>
      </c>
      <c r="H14" s="1">
        <f t="shared" si="0"/>
        <v>95</v>
      </c>
    </row>
    <row r="15" spans="2:8">
      <c r="B15" s="1">
        <v>2108673</v>
      </c>
      <c r="C15" s="1" t="s">
        <v>41</v>
      </c>
      <c r="D15" s="1">
        <v>25</v>
      </c>
      <c r="E15" s="1">
        <v>21</v>
      </c>
      <c r="F15" s="1">
        <v>12</v>
      </c>
      <c r="G15" s="1">
        <v>7</v>
      </c>
      <c r="H15" s="1">
        <f t="shared" si="0"/>
        <v>65</v>
      </c>
    </row>
    <row r="16" spans="2:8">
      <c r="B16" s="1">
        <v>2103042</v>
      </c>
      <c r="C16" s="1" t="s">
        <v>42</v>
      </c>
      <c r="D16" s="1">
        <v>33</v>
      </c>
      <c r="E16" s="1">
        <v>33</v>
      </c>
      <c r="F16" s="1">
        <v>17</v>
      </c>
      <c r="G16" s="1">
        <v>10</v>
      </c>
      <c r="H16" s="1">
        <f t="shared" si="0"/>
        <v>93</v>
      </c>
    </row>
    <row r="17" spans="2:8">
      <c r="B17" s="1">
        <v>2102996</v>
      </c>
      <c r="C17" s="1" t="s">
        <v>43</v>
      </c>
      <c r="D17" s="1">
        <v>28</v>
      </c>
      <c r="E17" s="1">
        <v>29</v>
      </c>
      <c r="F17" s="1">
        <v>14</v>
      </c>
      <c r="G17" s="1">
        <v>9</v>
      </c>
      <c r="H17" s="1">
        <f t="shared" si="0"/>
        <v>80</v>
      </c>
    </row>
    <row r="18" spans="2:8">
      <c r="B18" s="1">
        <v>2104871</v>
      </c>
      <c r="C18" s="1" t="s">
        <v>44</v>
      </c>
      <c r="D18" s="1">
        <v>26</v>
      </c>
      <c r="E18" s="1">
        <v>30</v>
      </c>
      <c r="F18" s="1">
        <v>15</v>
      </c>
      <c r="G18" s="1">
        <v>8</v>
      </c>
      <c r="H18" s="1">
        <f t="shared" si="0"/>
        <v>79</v>
      </c>
    </row>
    <row r="19" spans="2:8">
      <c r="B19" s="1">
        <v>2107570</v>
      </c>
      <c r="C19" s="1" t="s">
        <v>45</v>
      </c>
      <c r="D19" s="1">
        <v>35</v>
      </c>
      <c r="E19" s="1">
        <v>34</v>
      </c>
      <c r="F19" s="1">
        <v>19</v>
      </c>
      <c r="G19" s="1">
        <v>10</v>
      </c>
      <c r="H19" s="1">
        <f t="shared" si="0"/>
        <v>98</v>
      </c>
    </row>
    <row r="20" spans="2:8">
      <c r="B20" s="1">
        <v>2102918</v>
      </c>
      <c r="C20" s="1" t="s">
        <v>46</v>
      </c>
      <c r="D20" s="1">
        <v>34</v>
      </c>
      <c r="E20" s="1">
        <v>33</v>
      </c>
      <c r="F20" s="1">
        <v>20</v>
      </c>
      <c r="G20" s="1">
        <v>10</v>
      </c>
      <c r="H20" s="1">
        <f t="shared" si="0"/>
        <v>97</v>
      </c>
    </row>
    <row r="21" spans="2:8">
      <c r="B21" s="1">
        <v>2107164</v>
      </c>
      <c r="C21" s="1" t="s">
        <v>47</v>
      </c>
      <c r="D21" s="1">
        <v>30</v>
      </c>
      <c r="E21" s="1">
        <v>31</v>
      </c>
      <c r="F21" s="1">
        <v>16</v>
      </c>
      <c r="G21" s="1">
        <v>9</v>
      </c>
      <c r="H21" s="1">
        <f t="shared" si="0"/>
        <v>86</v>
      </c>
    </row>
    <row r="22" spans="2:8">
      <c r="B22" s="1">
        <v>2105060</v>
      </c>
      <c r="C22" s="1" t="s">
        <v>48</v>
      </c>
      <c r="D22" s="1">
        <v>29</v>
      </c>
      <c r="E22" s="1">
        <v>26</v>
      </c>
      <c r="F22" s="1">
        <v>15</v>
      </c>
      <c r="G22" s="1">
        <v>10</v>
      </c>
      <c r="H22" s="1">
        <f t="shared" si="0"/>
        <v>80</v>
      </c>
    </row>
    <row r="23" spans="2:8">
      <c r="B23" s="1">
        <v>2106865</v>
      </c>
      <c r="C23" s="1" t="s">
        <v>49</v>
      </c>
      <c r="D23" s="1">
        <v>31</v>
      </c>
      <c r="E23" s="1">
        <v>32</v>
      </c>
      <c r="F23" s="1">
        <v>17</v>
      </c>
      <c r="G23" s="1">
        <v>10</v>
      </c>
      <c r="H23" s="1">
        <f t="shared" si="0"/>
        <v>90</v>
      </c>
    </row>
    <row r="24" spans="2:8">
      <c r="B24" s="1">
        <v>2103671</v>
      </c>
      <c r="C24" s="1" t="s">
        <v>50</v>
      </c>
      <c r="D24" s="1">
        <v>33</v>
      </c>
      <c r="E24" s="1">
        <v>29</v>
      </c>
      <c r="F24" s="1">
        <v>13</v>
      </c>
      <c r="G24" s="1">
        <v>8</v>
      </c>
      <c r="H24" s="1">
        <f t="shared" si="0"/>
        <v>83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02FC-A466-4BFE-A9D8-156030A3D014}">
  <dimension ref="B10:G20"/>
  <sheetViews>
    <sheetView workbookViewId="0">
      <selection activeCell="G20" sqref="G20"/>
    </sheetView>
  </sheetViews>
  <sheetFormatPr defaultRowHeight="16.899999999999999"/>
  <sheetData>
    <row r="10" spans="2:7">
      <c r="B10" s="1" t="s">
        <v>15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</row>
    <row r="11" spans="2:7">
      <c r="B11" s="1" t="s">
        <v>79</v>
      </c>
      <c r="C11" s="7" t="s">
        <v>80</v>
      </c>
      <c r="D11" s="8">
        <v>65</v>
      </c>
      <c r="E11" s="8">
        <v>77</v>
      </c>
      <c r="F11" s="8">
        <f t="shared" ref="F11:F20" si="0">AVERAGE(D11:E11)</f>
        <v>71</v>
      </c>
      <c r="G11" s="9" t="str">
        <f>IF(F11&gt;=70,"합격","불합격")</f>
        <v>합격</v>
      </c>
    </row>
    <row r="12" spans="2:7">
      <c r="B12" s="10" t="s">
        <v>81</v>
      </c>
      <c r="C12" s="7" t="s">
        <v>82</v>
      </c>
      <c r="D12" s="8">
        <v>85</v>
      </c>
      <c r="E12" s="8">
        <v>91</v>
      </c>
      <c r="F12" s="8">
        <f t="shared" si="0"/>
        <v>88</v>
      </c>
      <c r="G12" s="9" t="str">
        <f t="shared" ref="G12:G20" si="1">IF(F12&gt;=70,"합격","불합격")</f>
        <v>합격</v>
      </c>
    </row>
    <row r="13" spans="2:7">
      <c r="B13" s="10" t="s">
        <v>83</v>
      </c>
      <c r="C13" s="7" t="s">
        <v>82</v>
      </c>
      <c r="D13" s="8">
        <v>78</v>
      </c>
      <c r="E13" s="8">
        <v>94</v>
      </c>
      <c r="F13" s="8">
        <f t="shared" si="0"/>
        <v>86</v>
      </c>
      <c r="G13" s="9" t="str">
        <f t="shared" si="1"/>
        <v>합격</v>
      </c>
    </row>
    <row r="14" spans="2:7">
      <c r="B14" s="10" t="s">
        <v>84</v>
      </c>
      <c r="C14" s="7" t="s">
        <v>80</v>
      </c>
      <c r="D14" s="8">
        <v>68</v>
      </c>
      <c r="E14" s="8">
        <v>77</v>
      </c>
      <c r="F14" s="8">
        <f t="shared" si="0"/>
        <v>72.5</v>
      </c>
      <c r="G14" s="9" t="str">
        <f t="shared" si="1"/>
        <v>합격</v>
      </c>
    </row>
    <row r="15" spans="2:7">
      <c r="B15" s="10" t="s">
        <v>85</v>
      </c>
      <c r="C15" s="7" t="s">
        <v>80</v>
      </c>
      <c r="D15" s="8">
        <v>77</v>
      </c>
      <c r="E15" s="8">
        <v>80</v>
      </c>
      <c r="F15" s="8">
        <f t="shared" si="0"/>
        <v>78.5</v>
      </c>
      <c r="G15" s="9" t="str">
        <f t="shared" si="1"/>
        <v>합격</v>
      </c>
    </row>
    <row r="16" spans="2:7">
      <c r="B16" s="10" t="s">
        <v>86</v>
      </c>
      <c r="C16" s="7" t="s">
        <v>80</v>
      </c>
      <c r="D16" s="8">
        <v>99</v>
      </c>
      <c r="E16" s="8">
        <v>84</v>
      </c>
      <c r="F16" s="8">
        <f t="shared" si="0"/>
        <v>91.5</v>
      </c>
      <c r="G16" s="9" t="str">
        <f t="shared" si="1"/>
        <v>합격</v>
      </c>
    </row>
    <row r="17" spans="2:7">
      <c r="B17" s="10" t="s">
        <v>87</v>
      </c>
      <c r="C17" s="7" t="s">
        <v>80</v>
      </c>
      <c r="D17" s="8">
        <v>60</v>
      </c>
      <c r="E17" s="8">
        <v>60</v>
      </c>
      <c r="F17" s="8">
        <f t="shared" si="0"/>
        <v>60</v>
      </c>
      <c r="G17" s="9" t="str">
        <f t="shared" si="1"/>
        <v>불합격</v>
      </c>
    </row>
    <row r="18" spans="2:7">
      <c r="B18" s="10" t="s">
        <v>88</v>
      </c>
      <c r="C18" s="7" t="s">
        <v>80</v>
      </c>
      <c r="D18" s="8">
        <v>88</v>
      </c>
      <c r="E18" s="8">
        <v>84</v>
      </c>
      <c r="F18" s="8">
        <f t="shared" si="0"/>
        <v>86</v>
      </c>
      <c r="G18" s="9" t="str">
        <f t="shared" si="1"/>
        <v>합격</v>
      </c>
    </row>
    <row r="19" spans="2:7">
      <c r="B19" s="10" t="s">
        <v>89</v>
      </c>
      <c r="C19" s="7" t="s">
        <v>80</v>
      </c>
      <c r="D19" s="8">
        <v>89</v>
      </c>
      <c r="E19" s="8">
        <v>50</v>
      </c>
      <c r="F19" s="8">
        <f t="shared" si="0"/>
        <v>69.5</v>
      </c>
      <c r="G19" s="9" t="str">
        <f t="shared" si="1"/>
        <v>불합격</v>
      </c>
    </row>
    <row r="20" spans="2:7">
      <c r="B20" s="1" t="s">
        <v>90</v>
      </c>
      <c r="C20" s="7" t="s">
        <v>82</v>
      </c>
      <c r="D20" s="8">
        <v>78</v>
      </c>
      <c r="E20" s="8">
        <v>65</v>
      </c>
      <c r="F20" s="8">
        <f t="shared" si="0"/>
        <v>71.5</v>
      </c>
      <c r="G20" s="9" t="str">
        <f t="shared" si="1"/>
        <v>합격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4E8A-3B5C-4FDE-A80D-B09777132B03}">
  <dimension ref="B10:E20"/>
  <sheetViews>
    <sheetView workbookViewId="0">
      <selection activeCell="E20" sqref="E20"/>
    </sheetView>
  </sheetViews>
  <sheetFormatPr defaultRowHeight="16.899999999999999"/>
  <cols>
    <col min="4" max="5" width="13.375" customWidth="1"/>
  </cols>
  <sheetData>
    <row r="10" spans="2:5">
      <c r="B10" s="1" t="s">
        <v>0</v>
      </c>
      <c r="C10" s="2" t="s">
        <v>1</v>
      </c>
      <c r="D10" s="2" t="s">
        <v>2</v>
      </c>
      <c r="E10" s="2" t="s">
        <v>3</v>
      </c>
    </row>
    <row r="11" spans="2:5">
      <c r="B11" s="1">
        <v>1</v>
      </c>
      <c r="C11" s="3" t="s">
        <v>4</v>
      </c>
      <c r="D11" s="4">
        <v>0.433</v>
      </c>
      <c r="E11" s="4">
        <v>0.49</v>
      </c>
    </row>
    <row r="12" spans="2:5">
      <c r="B12" s="1">
        <v>2</v>
      </c>
      <c r="C12" s="3" t="s">
        <v>5</v>
      </c>
      <c r="D12" s="4">
        <v>0.56299999999999994</v>
      </c>
      <c r="E12" s="4">
        <v>0.56299999999999994</v>
      </c>
    </row>
    <row r="13" spans="2:5">
      <c r="B13" s="1">
        <v>3</v>
      </c>
      <c r="C13" s="3" t="s">
        <v>6</v>
      </c>
      <c r="D13" s="4">
        <v>0.55400000000000005</v>
      </c>
      <c r="E13" s="4">
        <v>0.61299999999999999</v>
      </c>
    </row>
    <row r="14" spans="2:5">
      <c r="B14" s="1">
        <v>4</v>
      </c>
      <c r="C14" s="3" t="s">
        <v>7</v>
      </c>
      <c r="D14" s="4">
        <v>0.496</v>
      </c>
      <c r="E14" s="4">
        <v>0.47499999999999998</v>
      </c>
    </row>
    <row r="15" spans="2:5">
      <c r="B15" s="1">
        <v>5</v>
      </c>
      <c r="C15" s="3" t="s">
        <v>8</v>
      </c>
      <c r="D15" s="4">
        <v>0.50800000000000001</v>
      </c>
      <c r="E15" s="4">
        <v>0.629</v>
      </c>
    </row>
    <row r="16" spans="2:5">
      <c r="B16" s="1">
        <v>6</v>
      </c>
      <c r="C16" s="3" t="s">
        <v>9</v>
      </c>
      <c r="D16" s="4">
        <v>0.52200000000000002</v>
      </c>
      <c r="E16" s="4">
        <v>0.42299999999999999</v>
      </c>
    </row>
    <row r="17" spans="2:5">
      <c r="B17" s="1">
        <v>7</v>
      </c>
      <c r="C17" s="3" t="s">
        <v>10</v>
      </c>
      <c r="D17" s="4">
        <v>0.47799999999999998</v>
      </c>
      <c r="E17" s="4">
        <v>0.45700000000000002</v>
      </c>
    </row>
    <row r="18" spans="2:5">
      <c r="B18" s="1">
        <v>8</v>
      </c>
      <c r="C18" s="3" t="s">
        <v>11</v>
      </c>
      <c r="D18" s="4">
        <v>0.56299999999999994</v>
      </c>
      <c r="E18" s="4">
        <v>0.46500000000000002</v>
      </c>
    </row>
    <row r="19" spans="2:5">
      <c r="B19" s="1">
        <v>9</v>
      </c>
      <c r="C19" s="3" t="s">
        <v>12</v>
      </c>
      <c r="D19" s="4">
        <v>0.51100000000000001</v>
      </c>
      <c r="E19" s="4">
        <v>0.56299999999999994</v>
      </c>
    </row>
    <row r="20" spans="2:5">
      <c r="B20" s="1">
        <v>10</v>
      </c>
      <c r="C20" s="3" t="s">
        <v>13</v>
      </c>
      <c r="D20" s="4">
        <v>0.371</v>
      </c>
      <c r="E20" s="4">
        <v>0.32400000000000001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CB3D-CF9B-4291-8405-44E81984EE4C}">
  <dimension ref="B10:F19"/>
  <sheetViews>
    <sheetView workbookViewId="0">
      <selection activeCell="F19" sqref="F19"/>
    </sheetView>
  </sheetViews>
  <sheetFormatPr defaultRowHeight="16.899999999999999"/>
  <cols>
    <col min="5" max="5" width="10.5625" bestFit="1" customWidth="1"/>
    <col min="6" max="6" width="10.3125" bestFit="1" customWidth="1"/>
  </cols>
  <sheetData>
    <row r="10" spans="2:6"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</row>
    <row r="11" spans="2:6">
      <c r="B11" s="1">
        <v>78793</v>
      </c>
      <c r="C11" s="1" t="s">
        <v>19</v>
      </c>
      <c r="D11" s="1" t="s">
        <v>20</v>
      </c>
      <c r="E11" s="5">
        <v>44556</v>
      </c>
      <c r="F11" s="6">
        <v>1521000</v>
      </c>
    </row>
    <row r="12" spans="2:6">
      <c r="B12" s="1">
        <v>64316</v>
      </c>
      <c r="C12" s="1" t="s">
        <v>21</v>
      </c>
      <c r="D12" s="1" t="s">
        <v>20</v>
      </c>
      <c r="E12" s="5">
        <v>44920</v>
      </c>
      <c r="F12" s="6">
        <v>1604000</v>
      </c>
    </row>
    <row r="13" spans="2:6">
      <c r="B13" s="1">
        <v>25046</v>
      </c>
      <c r="C13" s="1" t="s">
        <v>22</v>
      </c>
      <c r="D13" s="1" t="s">
        <v>20</v>
      </c>
      <c r="E13" s="5">
        <v>44093</v>
      </c>
      <c r="F13" s="6">
        <v>1886000</v>
      </c>
    </row>
    <row r="14" spans="2:6">
      <c r="B14" s="1">
        <v>10387</v>
      </c>
      <c r="C14" s="1" t="s">
        <v>23</v>
      </c>
      <c r="D14" s="1" t="s">
        <v>20</v>
      </c>
      <c r="E14" s="5">
        <v>44018</v>
      </c>
      <c r="F14" s="6">
        <v>2065000</v>
      </c>
    </row>
    <row r="15" spans="2:6">
      <c r="B15" s="1">
        <v>32955</v>
      </c>
      <c r="C15" s="1" t="s">
        <v>24</v>
      </c>
      <c r="D15" s="1" t="s">
        <v>25</v>
      </c>
      <c r="E15" s="5">
        <v>44871</v>
      </c>
      <c r="F15" s="6">
        <v>1029000</v>
      </c>
    </row>
    <row r="16" spans="2:6">
      <c r="B16" s="1">
        <v>47398</v>
      </c>
      <c r="C16" s="1" t="s">
        <v>26</v>
      </c>
      <c r="D16" s="1" t="s">
        <v>25</v>
      </c>
      <c r="E16" s="5">
        <v>43967</v>
      </c>
      <c r="F16" s="6">
        <v>1276000</v>
      </c>
    </row>
    <row r="17" spans="2:6">
      <c r="B17" s="1">
        <v>71886</v>
      </c>
      <c r="C17" s="1" t="s">
        <v>27</v>
      </c>
      <c r="D17" s="1" t="s">
        <v>25</v>
      </c>
      <c r="E17" s="5">
        <v>44447</v>
      </c>
      <c r="F17" s="6">
        <v>1340000</v>
      </c>
    </row>
    <row r="18" spans="2:6">
      <c r="B18" s="1">
        <v>70124</v>
      </c>
      <c r="C18" s="1" t="s">
        <v>28</v>
      </c>
      <c r="D18" s="1" t="s">
        <v>25</v>
      </c>
      <c r="E18" s="5">
        <v>44769</v>
      </c>
      <c r="F18" s="6">
        <v>2395000</v>
      </c>
    </row>
    <row r="19" spans="2:6">
      <c r="B19" s="1">
        <v>52937</v>
      </c>
      <c r="C19" s="1" t="s">
        <v>29</v>
      </c>
      <c r="D19" s="1" t="s">
        <v>25</v>
      </c>
      <c r="E19" s="5">
        <v>43944</v>
      </c>
      <c r="F19" s="6">
        <v>1535000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코딩 정석</dc:creator>
  <cp:lastModifiedBy>코딩 정석</cp:lastModifiedBy>
  <dcterms:created xsi:type="dcterms:W3CDTF">2025-11-24T10:43:54Z</dcterms:created>
  <dcterms:modified xsi:type="dcterms:W3CDTF">2025-11-25T08:47:02Z</dcterms:modified>
</cp:coreProperties>
</file>